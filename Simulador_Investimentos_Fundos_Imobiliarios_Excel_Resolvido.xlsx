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ern\Downloads\"/>
    </mc:Choice>
  </mc:AlternateContent>
  <xr:revisionPtr revIDLastSave="0" documentId="8_{B277A0F8-95DC-476E-A753-59E9E13302B4}" xr6:coauthVersionLast="47" xr6:coauthVersionMax="47" xr10:uidLastSave="{00000000-0000-0000-0000-000000000000}"/>
  <bookViews>
    <workbookView xWindow="-108" yWindow="-108" windowWidth="23256" windowHeight="13896" xr2:uid="{3D73EBE0-A481-4F5F-A82D-A30B31FF77D1}"/>
  </bookViews>
  <sheets>
    <sheet name="APP" sheetId="1" r:id="rId1"/>
    <sheet name="Projeção" sheetId="2" r:id="rId2"/>
    <sheet name="Perf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2" l="1"/>
  <c r="A3" i="2"/>
  <c r="B3" i="2" s="1"/>
  <c r="C3" i="2"/>
  <c r="D3" i="2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C35" i="1"/>
  <c r="D35" i="1" s="1"/>
  <c r="C34" i="1"/>
  <c r="D34" i="1" s="1"/>
  <c r="C33" i="1"/>
  <c r="D33" i="1" s="1"/>
  <c r="C32" i="1"/>
  <c r="D32" i="1" s="1"/>
  <c r="C31" i="1"/>
  <c r="D31" i="1" s="1"/>
  <c r="C30" i="1"/>
  <c r="D30" i="1" s="1"/>
  <c r="C27" i="1"/>
  <c r="D23" i="1"/>
  <c r="D22" i="1"/>
  <c r="D21" i="1"/>
  <c r="D20" i="1"/>
  <c r="C23" i="1"/>
  <c r="C22" i="1"/>
  <c r="C21" i="1"/>
  <c r="C20" i="1"/>
  <c r="D19" i="1"/>
  <c r="C19" i="1"/>
  <c r="D13" i="1"/>
  <c r="D15" i="1"/>
  <c r="D7" i="1"/>
  <c r="A5" i="2" l="1"/>
  <c r="C4" i="2"/>
  <c r="B4" i="2"/>
  <c r="E3" i="2"/>
  <c r="F3" i="2" s="1"/>
  <c r="D36" i="1"/>
  <c r="D14" i="1"/>
  <c r="D16" i="1"/>
  <c r="B5" i="2" l="1"/>
  <c r="A6" i="2"/>
  <c r="C5" i="2"/>
  <c r="D4" i="2"/>
  <c r="G3" i="2"/>
  <c r="C6" i="2" l="1"/>
  <c r="B6" i="2"/>
  <c r="A7" i="2"/>
  <c r="E4" i="2"/>
  <c r="F4" i="2" s="1"/>
  <c r="C7" i="2" l="1"/>
  <c r="B7" i="2"/>
  <c r="A8" i="2"/>
  <c r="D5" i="2"/>
  <c r="G4" i="2"/>
  <c r="C8" i="2" l="1"/>
  <c r="B8" i="2"/>
  <c r="A9" i="2"/>
  <c r="E5" i="2"/>
  <c r="F5" i="2" s="1"/>
  <c r="C9" i="2" l="1"/>
  <c r="A10" i="2"/>
  <c r="B9" i="2"/>
  <c r="D6" i="2"/>
  <c r="G5" i="2"/>
  <c r="B10" i="2" l="1"/>
  <c r="C10" i="2"/>
  <c r="A11" i="2"/>
  <c r="E6" i="2"/>
  <c r="F6" i="2" s="1"/>
  <c r="C11" i="2" l="1"/>
  <c r="A12" i="2"/>
  <c r="B11" i="2"/>
  <c r="D7" i="2"/>
  <c r="G6" i="2"/>
  <c r="C12" i="2" l="1"/>
  <c r="B12" i="2"/>
  <c r="A13" i="2"/>
  <c r="E7" i="2"/>
  <c r="F7" i="2"/>
  <c r="B13" i="2" l="1"/>
  <c r="A14" i="2"/>
  <c r="C13" i="2"/>
  <c r="D8" i="2"/>
  <c r="G7" i="2"/>
  <c r="C14" i="2" l="1"/>
  <c r="A15" i="2"/>
  <c r="B14" i="2"/>
  <c r="E8" i="2"/>
  <c r="F8" i="2"/>
  <c r="C15" i="2" l="1"/>
  <c r="A16" i="2"/>
  <c r="B15" i="2"/>
  <c r="D9" i="2"/>
  <c r="G8" i="2"/>
  <c r="C16" i="2" l="1"/>
  <c r="B16" i="2"/>
  <c r="A17" i="2"/>
  <c r="F9" i="2"/>
  <c r="E9" i="2"/>
  <c r="C17" i="2" l="1"/>
  <c r="A18" i="2"/>
  <c r="B17" i="2"/>
  <c r="D10" i="2"/>
  <c r="G9" i="2"/>
  <c r="C18" i="2" l="1"/>
  <c r="A19" i="2"/>
  <c r="B18" i="2"/>
  <c r="E10" i="2"/>
  <c r="F10" i="2"/>
  <c r="B19" i="2" l="1"/>
  <c r="C19" i="2"/>
  <c r="A20" i="2"/>
  <c r="D11" i="2"/>
  <c r="G10" i="2"/>
  <c r="B20" i="2" l="1"/>
  <c r="A21" i="2"/>
  <c r="C20" i="2"/>
  <c r="E11" i="2"/>
  <c r="F11" i="2" s="1"/>
  <c r="A22" i="2" l="1"/>
  <c r="B21" i="2"/>
  <c r="C21" i="2"/>
  <c r="D12" i="2"/>
  <c r="G11" i="2"/>
  <c r="C22" i="2" l="1"/>
  <c r="A23" i="2"/>
  <c r="B22" i="2"/>
  <c r="E12" i="2"/>
  <c r="F12" i="2"/>
  <c r="C23" i="2" l="1"/>
  <c r="A24" i="2"/>
  <c r="B23" i="2"/>
  <c r="D13" i="2"/>
  <c r="G12" i="2"/>
  <c r="C24" i="2" l="1"/>
  <c r="A25" i="2"/>
  <c r="B24" i="2"/>
  <c r="E13" i="2"/>
  <c r="F13" i="2"/>
  <c r="C25" i="2" l="1"/>
  <c r="A26" i="2"/>
  <c r="B25" i="2"/>
  <c r="D14" i="2"/>
  <c r="G13" i="2"/>
  <c r="C26" i="2" l="1"/>
  <c r="B26" i="2"/>
  <c r="A27" i="2"/>
  <c r="E14" i="2"/>
  <c r="F14" i="2" s="1"/>
  <c r="A28" i="2" l="1"/>
  <c r="C27" i="2"/>
  <c r="B27" i="2"/>
  <c r="D15" i="2"/>
  <c r="G14" i="2"/>
  <c r="C28" i="2" l="1"/>
  <c r="A29" i="2"/>
  <c r="B28" i="2"/>
  <c r="E15" i="2"/>
  <c r="F15" i="2" s="1"/>
  <c r="C29" i="2" l="1"/>
  <c r="A30" i="2"/>
  <c r="B29" i="2"/>
  <c r="D16" i="2"/>
  <c r="G15" i="2"/>
  <c r="C30" i="2" l="1"/>
  <c r="B30" i="2"/>
  <c r="A31" i="2"/>
  <c r="E16" i="2"/>
  <c r="F16" i="2" s="1"/>
  <c r="A32" i="2" l="1"/>
  <c r="B31" i="2"/>
  <c r="C31" i="2"/>
  <c r="D17" i="2"/>
  <c r="G16" i="2"/>
  <c r="C32" i="2" l="1"/>
  <c r="B32" i="2"/>
  <c r="A33" i="2"/>
  <c r="E17" i="2"/>
  <c r="F17" i="2"/>
  <c r="C33" i="2" l="1"/>
  <c r="B33" i="2"/>
  <c r="A34" i="2"/>
  <c r="D18" i="2"/>
  <c r="G17" i="2"/>
  <c r="C34" i="2" l="1"/>
  <c r="A35" i="2"/>
  <c r="B34" i="2"/>
  <c r="E18" i="2"/>
  <c r="F18" i="2"/>
  <c r="C35" i="2" l="1"/>
  <c r="B35" i="2"/>
  <c r="A36" i="2"/>
  <c r="D19" i="2"/>
  <c r="G18" i="2"/>
  <c r="C36" i="2" l="1"/>
  <c r="A37" i="2"/>
  <c r="B36" i="2"/>
  <c r="E19" i="2"/>
  <c r="F19" i="2"/>
  <c r="C37" i="2" l="1"/>
  <c r="B37" i="2"/>
  <c r="A38" i="2"/>
  <c r="D20" i="2"/>
  <c r="G19" i="2"/>
  <c r="C38" i="2" l="1"/>
  <c r="A39" i="2"/>
  <c r="B38" i="2"/>
  <c r="E20" i="2"/>
  <c r="F20" i="2" s="1"/>
  <c r="C39" i="2" l="1"/>
  <c r="A40" i="2"/>
  <c r="B39" i="2"/>
  <c r="D21" i="2"/>
  <c r="G20" i="2"/>
  <c r="B40" i="2" l="1"/>
  <c r="C40" i="2"/>
  <c r="A41" i="2"/>
  <c r="E21" i="2"/>
  <c r="F21" i="2"/>
  <c r="C41" i="2" l="1"/>
  <c r="B41" i="2"/>
  <c r="A42" i="2"/>
  <c r="D22" i="2"/>
  <c r="G21" i="2"/>
  <c r="C42" i="2" l="1"/>
  <c r="B42" i="2"/>
  <c r="A43" i="2"/>
  <c r="F22" i="2"/>
  <c r="E22" i="2"/>
  <c r="C43" i="2" l="1"/>
  <c r="B43" i="2"/>
  <c r="A44" i="2"/>
  <c r="D23" i="2"/>
  <c r="G22" i="2"/>
  <c r="C44" i="2" l="1"/>
  <c r="B44" i="2"/>
  <c r="A45" i="2"/>
  <c r="E23" i="2"/>
  <c r="F23" i="2"/>
  <c r="C45" i="2" l="1"/>
  <c r="B45" i="2"/>
  <c r="A46" i="2"/>
  <c r="D24" i="2"/>
  <c r="G23" i="2"/>
  <c r="C46" i="2" l="1"/>
  <c r="B46" i="2"/>
  <c r="A47" i="2"/>
  <c r="E24" i="2"/>
  <c r="F24" i="2"/>
  <c r="B47" i="2" l="1"/>
  <c r="C47" i="2"/>
  <c r="A48" i="2"/>
  <c r="D25" i="2"/>
  <c r="G24" i="2"/>
  <c r="B48" i="2" l="1"/>
  <c r="C48" i="2"/>
  <c r="A49" i="2"/>
  <c r="E25" i="2"/>
  <c r="F25" i="2" s="1"/>
  <c r="B49" i="2" l="1"/>
  <c r="C49" i="2"/>
  <c r="A50" i="2"/>
  <c r="D26" i="2"/>
  <c r="G25" i="2"/>
  <c r="B50" i="2" l="1"/>
  <c r="C50" i="2"/>
  <c r="A51" i="2"/>
  <c r="E26" i="2"/>
  <c r="F26" i="2" s="1"/>
  <c r="B51" i="2" l="1"/>
  <c r="C51" i="2"/>
  <c r="A52" i="2"/>
  <c r="D27" i="2"/>
  <c r="G26" i="2"/>
  <c r="B52" i="2" l="1"/>
  <c r="C52" i="2"/>
  <c r="A53" i="2"/>
  <c r="E27" i="2"/>
  <c r="F27" i="2"/>
  <c r="B53" i="2" l="1"/>
  <c r="C53" i="2"/>
  <c r="A54" i="2"/>
  <c r="D28" i="2"/>
  <c r="G27" i="2"/>
  <c r="B54" i="2" l="1"/>
  <c r="C54" i="2"/>
  <c r="A55" i="2"/>
  <c r="E28" i="2"/>
  <c r="F28" i="2"/>
  <c r="B55" i="2" l="1"/>
  <c r="C55" i="2"/>
  <c r="A56" i="2"/>
  <c r="D29" i="2"/>
  <c r="G28" i="2"/>
  <c r="B56" i="2" l="1"/>
  <c r="C56" i="2"/>
  <c r="A57" i="2"/>
  <c r="E29" i="2"/>
  <c r="F29" i="2"/>
  <c r="B57" i="2" l="1"/>
  <c r="C57" i="2"/>
  <c r="A58" i="2"/>
  <c r="D30" i="2"/>
  <c r="G29" i="2"/>
  <c r="B58" i="2" l="1"/>
  <c r="C58" i="2"/>
  <c r="A59" i="2"/>
  <c r="E30" i="2"/>
  <c r="F30" i="2" s="1"/>
  <c r="B59" i="2" l="1"/>
  <c r="C59" i="2"/>
  <c r="A60" i="2"/>
  <c r="D31" i="2"/>
  <c r="G30" i="2"/>
  <c r="B60" i="2" l="1"/>
  <c r="C60" i="2"/>
  <c r="A61" i="2"/>
  <c r="E31" i="2"/>
  <c r="F31" i="2"/>
  <c r="B61" i="2" l="1"/>
  <c r="C61" i="2"/>
  <c r="A62" i="2"/>
  <c r="D32" i="2"/>
  <c r="G31" i="2"/>
  <c r="B62" i="2" l="1"/>
  <c r="C62" i="2"/>
  <c r="A63" i="2"/>
  <c r="E32" i="2"/>
  <c r="F32" i="2" s="1"/>
  <c r="B63" i="2" l="1"/>
  <c r="C63" i="2"/>
  <c r="D63" i="2"/>
  <c r="E63" i="2"/>
  <c r="F63" i="2"/>
  <c r="G63" i="2"/>
  <c r="A64" i="2"/>
  <c r="D33" i="2"/>
  <c r="G32" i="2"/>
  <c r="B64" i="2" l="1"/>
  <c r="C64" i="2"/>
  <c r="D64" i="2"/>
  <c r="E64" i="2"/>
  <c r="F64" i="2"/>
  <c r="G64" i="2"/>
  <c r="A65" i="2"/>
  <c r="E33" i="2"/>
  <c r="F33" i="2"/>
  <c r="B65" i="2" l="1"/>
  <c r="C65" i="2"/>
  <c r="D65" i="2"/>
  <c r="E65" i="2"/>
  <c r="F65" i="2"/>
  <c r="G65" i="2"/>
  <c r="A66" i="2"/>
  <c r="D34" i="2"/>
  <c r="G33" i="2"/>
  <c r="B66" i="2" l="1"/>
  <c r="C66" i="2"/>
  <c r="D66" i="2"/>
  <c r="E66" i="2"/>
  <c r="F66" i="2"/>
  <c r="G66" i="2"/>
  <c r="A67" i="2"/>
  <c r="E34" i="2"/>
  <c r="F34" i="2"/>
  <c r="B67" i="2" l="1"/>
  <c r="C67" i="2"/>
  <c r="D67" i="2"/>
  <c r="E67" i="2"/>
  <c r="F67" i="2"/>
  <c r="G67" i="2"/>
  <c r="A68" i="2"/>
  <c r="D35" i="2"/>
  <c r="G34" i="2"/>
  <c r="B68" i="2" l="1"/>
  <c r="C68" i="2"/>
  <c r="D68" i="2"/>
  <c r="E68" i="2"/>
  <c r="F68" i="2"/>
  <c r="G68" i="2"/>
  <c r="A69" i="2"/>
  <c r="E35" i="2"/>
  <c r="F35" i="2"/>
  <c r="B69" i="2" l="1"/>
  <c r="C69" i="2"/>
  <c r="D69" i="2"/>
  <c r="E69" i="2"/>
  <c r="F69" i="2"/>
  <c r="G69" i="2"/>
  <c r="A70" i="2"/>
  <c r="D36" i="2"/>
  <c r="G35" i="2"/>
  <c r="B70" i="2" l="1"/>
  <c r="C70" i="2"/>
  <c r="D70" i="2"/>
  <c r="E70" i="2"/>
  <c r="F70" i="2"/>
  <c r="G70" i="2"/>
  <c r="A71" i="2"/>
  <c r="E36" i="2"/>
  <c r="F36" i="2"/>
  <c r="B71" i="2" l="1"/>
  <c r="C71" i="2"/>
  <c r="D71" i="2"/>
  <c r="E71" i="2"/>
  <c r="F71" i="2"/>
  <c r="G71" i="2"/>
  <c r="A72" i="2"/>
  <c r="D37" i="2"/>
  <c r="G36" i="2"/>
  <c r="B72" i="2" l="1"/>
  <c r="C72" i="2"/>
  <c r="D72" i="2"/>
  <c r="E72" i="2"/>
  <c r="F72" i="2"/>
  <c r="G72" i="2"/>
  <c r="A73" i="2"/>
  <c r="E37" i="2"/>
  <c r="F37" i="2" s="1"/>
  <c r="B73" i="2" l="1"/>
  <c r="C73" i="2"/>
  <c r="D73" i="2"/>
  <c r="E73" i="2"/>
  <c r="F73" i="2"/>
  <c r="G73" i="2"/>
  <c r="A74" i="2"/>
  <c r="D38" i="2"/>
  <c r="G37" i="2"/>
  <c r="B74" i="2" l="1"/>
  <c r="C74" i="2"/>
  <c r="D74" i="2"/>
  <c r="E74" i="2"/>
  <c r="F74" i="2"/>
  <c r="G74" i="2"/>
  <c r="A75" i="2"/>
  <c r="E38" i="2"/>
  <c r="F38" i="2" s="1"/>
  <c r="B75" i="2" l="1"/>
  <c r="C75" i="2"/>
  <c r="D75" i="2"/>
  <c r="E75" i="2"/>
  <c r="F75" i="2"/>
  <c r="G75" i="2"/>
  <c r="A76" i="2"/>
  <c r="D39" i="2"/>
  <c r="G38" i="2"/>
  <c r="B76" i="2" l="1"/>
  <c r="C76" i="2"/>
  <c r="D76" i="2"/>
  <c r="E76" i="2"/>
  <c r="F76" i="2"/>
  <c r="G76" i="2"/>
  <c r="A77" i="2"/>
  <c r="E39" i="2"/>
  <c r="F39" i="2"/>
  <c r="B77" i="2" l="1"/>
  <c r="C77" i="2"/>
  <c r="D77" i="2"/>
  <c r="E77" i="2"/>
  <c r="F77" i="2"/>
  <c r="G77" i="2"/>
  <c r="A78" i="2"/>
  <c r="D40" i="2"/>
  <c r="G39" i="2"/>
  <c r="B78" i="2" l="1"/>
  <c r="C78" i="2"/>
  <c r="D78" i="2"/>
  <c r="E78" i="2"/>
  <c r="F78" i="2"/>
  <c r="G78" i="2"/>
  <c r="A79" i="2"/>
  <c r="E40" i="2"/>
  <c r="F40" i="2"/>
  <c r="B79" i="2" l="1"/>
  <c r="C79" i="2"/>
  <c r="D79" i="2"/>
  <c r="E79" i="2"/>
  <c r="F79" i="2"/>
  <c r="G79" i="2"/>
  <c r="A80" i="2"/>
  <c r="D41" i="2"/>
  <c r="G40" i="2"/>
  <c r="B80" i="2" l="1"/>
  <c r="C80" i="2"/>
  <c r="D80" i="2"/>
  <c r="E80" i="2"/>
  <c r="F80" i="2"/>
  <c r="G80" i="2"/>
  <c r="A81" i="2"/>
  <c r="E41" i="2"/>
  <c r="F41" i="2"/>
  <c r="B81" i="2" l="1"/>
  <c r="C81" i="2"/>
  <c r="D81" i="2"/>
  <c r="E81" i="2"/>
  <c r="F81" i="2"/>
  <c r="G81" i="2"/>
  <c r="A82" i="2"/>
  <c r="D42" i="2"/>
  <c r="G41" i="2"/>
  <c r="B82" i="2" l="1"/>
  <c r="C82" i="2"/>
  <c r="D82" i="2"/>
  <c r="E82" i="2"/>
  <c r="F82" i="2"/>
  <c r="G82" i="2"/>
  <c r="A83" i="2"/>
  <c r="E42" i="2"/>
  <c r="F42" i="2"/>
  <c r="B83" i="2" l="1"/>
  <c r="C83" i="2"/>
  <c r="D83" i="2"/>
  <c r="E83" i="2"/>
  <c r="F83" i="2"/>
  <c r="G83" i="2"/>
  <c r="A84" i="2"/>
  <c r="D43" i="2"/>
  <c r="G42" i="2"/>
  <c r="B84" i="2" l="1"/>
  <c r="C84" i="2"/>
  <c r="D84" i="2"/>
  <c r="E84" i="2"/>
  <c r="F84" i="2"/>
  <c r="G84" i="2"/>
  <c r="A85" i="2"/>
  <c r="E43" i="2"/>
  <c r="F43" i="2" s="1"/>
  <c r="B85" i="2" l="1"/>
  <c r="C85" i="2"/>
  <c r="D85" i="2"/>
  <c r="E85" i="2"/>
  <c r="F85" i="2"/>
  <c r="G85" i="2"/>
  <c r="A86" i="2"/>
  <c r="D44" i="2"/>
  <c r="G43" i="2"/>
  <c r="B86" i="2" l="1"/>
  <c r="C86" i="2"/>
  <c r="D86" i="2"/>
  <c r="E86" i="2"/>
  <c r="F86" i="2"/>
  <c r="G86" i="2"/>
  <c r="A87" i="2"/>
  <c r="E44" i="2"/>
  <c r="F44" i="2" s="1"/>
  <c r="B87" i="2" l="1"/>
  <c r="C87" i="2"/>
  <c r="D87" i="2"/>
  <c r="E87" i="2"/>
  <c r="F87" i="2"/>
  <c r="G87" i="2"/>
  <c r="A88" i="2"/>
  <c r="D45" i="2"/>
  <c r="G44" i="2"/>
  <c r="B88" i="2" l="1"/>
  <c r="C88" i="2"/>
  <c r="D88" i="2"/>
  <c r="E88" i="2"/>
  <c r="F88" i="2"/>
  <c r="G88" i="2"/>
  <c r="A89" i="2"/>
  <c r="E45" i="2"/>
  <c r="F45" i="2" s="1"/>
  <c r="B89" i="2" l="1"/>
  <c r="C89" i="2"/>
  <c r="D89" i="2"/>
  <c r="E89" i="2"/>
  <c r="F89" i="2"/>
  <c r="G89" i="2"/>
  <c r="A90" i="2"/>
  <c r="D46" i="2"/>
  <c r="G45" i="2"/>
  <c r="B90" i="2" l="1"/>
  <c r="C90" i="2"/>
  <c r="D90" i="2"/>
  <c r="E90" i="2"/>
  <c r="F90" i="2"/>
  <c r="G90" i="2"/>
  <c r="A91" i="2"/>
  <c r="E46" i="2"/>
  <c r="F46" i="2"/>
  <c r="B91" i="2" l="1"/>
  <c r="C91" i="2"/>
  <c r="D91" i="2"/>
  <c r="E91" i="2"/>
  <c r="F91" i="2"/>
  <c r="G91" i="2"/>
  <c r="A92" i="2"/>
  <c r="D47" i="2"/>
  <c r="G46" i="2"/>
  <c r="B92" i="2" l="1"/>
  <c r="C92" i="2"/>
  <c r="D92" i="2"/>
  <c r="E92" i="2"/>
  <c r="F92" i="2"/>
  <c r="G92" i="2"/>
  <c r="A93" i="2"/>
  <c r="E47" i="2"/>
  <c r="F47" i="2" s="1"/>
  <c r="B93" i="2" l="1"/>
  <c r="C93" i="2"/>
  <c r="D93" i="2"/>
  <c r="E93" i="2"/>
  <c r="F93" i="2"/>
  <c r="G93" i="2"/>
  <c r="A94" i="2"/>
  <c r="D48" i="2"/>
  <c r="G47" i="2"/>
  <c r="B94" i="2" l="1"/>
  <c r="C94" i="2"/>
  <c r="D94" i="2"/>
  <c r="E94" i="2"/>
  <c r="F94" i="2"/>
  <c r="G94" i="2"/>
  <c r="A95" i="2"/>
  <c r="E48" i="2"/>
  <c r="F48" i="2" s="1"/>
  <c r="B95" i="2" l="1"/>
  <c r="C95" i="2"/>
  <c r="D95" i="2"/>
  <c r="E95" i="2"/>
  <c r="F95" i="2"/>
  <c r="G95" i="2"/>
  <c r="A96" i="2"/>
  <c r="D49" i="2"/>
  <c r="G48" i="2"/>
  <c r="B96" i="2" l="1"/>
  <c r="C96" i="2"/>
  <c r="D96" i="2"/>
  <c r="E96" i="2"/>
  <c r="F96" i="2"/>
  <c r="G96" i="2"/>
  <c r="A97" i="2"/>
  <c r="E49" i="2"/>
  <c r="F49" i="2" s="1"/>
  <c r="B97" i="2" l="1"/>
  <c r="C97" i="2"/>
  <c r="D97" i="2"/>
  <c r="E97" i="2"/>
  <c r="F97" i="2"/>
  <c r="G97" i="2"/>
  <c r="A98" i="2"/>
  <c r="D50" i="2"/>
  <c r="G49" i="2"/>
  <c r="B98" i="2" l="1"/>
  <c r="C98" i="2"/>
  <c r="D98" i="2"/>
  <c r="E98" i="2"/>
  <c r="F98" i="2"/>
  <c r="G98" i="2"/>
  <c r="A99" i="2"/>
  <c r="E50" i="2"/>
  <c r="F50" i="2" s="1"/>
  <c r="B99" i="2" l="1"/>
  <c r="C99" i="2"/>
  <c r="D99" i="2"/>
  <c r="E99" i="2"/>
  <c r="F99" i="2"/>
  <c r="G99" i="2"/>
  <c r="A100" i="2"/>
  <c r="D51" i="2"/>
  <c r="G50" i="2"/>
  <c r="B100" i="2" l="1"/>
  <c r="C100" i="2"/>
  <c r="D100" i="2"/>
  <c r="E100" i="2"/>
  <c r="F100" i="2"/>
  <c r="G100" i="2"/>
  <c r="A101" i="2"/>
  <c r="E51" i="2"/>
  <c r="F51" i="2" s="1"/>
  <c r="B101" i="2" l="1"/>
  <c r="C101" i="2"/>
  <c r="D101" i="2"/>
  <c r="E101" i="2"/>
  <c r="F101" i="2"/>
  <c r="G101" i="2"/>
  <c r="A102" i="2"/>
  <c r="D52" i="2"/>
  <c r="G51" i="2"/>
  <c r="B102" i="2" l="1"/>
  <c r="C102" i="2"/>
  <c r="D102" i="2"/>
  <c r="E102" i="2"/>
  <c r="F102" i="2"/>
  <c r="G102" i="2"/>
  <c r="A103" i="2"/>
  <c r="E52" i="2"/>
  <c r="F52" i="2" s="1"/>
  <c r="B103" i="2" l="1"/>
  <c r="C103" i="2"/>
  <c r="D103" i="2"/>
  <c r="E103" i="2"/>
  <c r="F103" i="2"/>
  <c r="G103" i="2"/>
  <c r="A104" i="2"/>
  <c r="D53" i="2"/>
  <c r="G52" i="2"/>
  <c r="B104" i="2" l="1"/>
  <c r="C104" i="2"/>
  <c r="D104" i="2"/>
  <c r="E104" i="2"/>
  <c r="F104" i="2"/>
  <c r="G104" i="2"/>
  <c r="A105" i="2"/>
  <c r="E53" i="2"/>
  <c r="F53" i="2" s="1"/>
  <c r="B105" i="2" l="1"/>
  <c r="C105" i="2"/>
  <c r="D105" i="2"/>
  <c r="E105" i="2"/>
  <c r="F105" i="2"/>
  <c r="G105" i="2"/>
  <c r="A106" i="2"/>
  <c r="D54" i="2"/>
  <c r="G53" i="2"/>
  <c r="B106" i="2" l="1"/>
  <c r="C106" i="2"/>
  <c r="D106" i="2"/>
  <c r="E106" i="2"/>
  <c r="F106" i="2"/>
  <c r="G106" i="2"/>
  <c r="A107" i="2"/>
  <c r="E54" i="2"/>
  <c r="F54" i="2" s="1"/>
  <c r="B107" i="2" l="1"/>
  <c r="C107" i="2"/>
  <c r="D107" i="2"/>
  <c r="E107" i="2"/>
  <c r="F107" i="2"/>
  <c r="G107" i="2"/>
  <c r="A108" i="2"/>
  <c r="D55" i="2"/>
  <c r="G54" i="2"/>
  <c r="B108" i="2" l="1"/>
  <c r="C108" i="2"/>
  <c r="D108" i="2"/>
  <c r="E108" i="2"/>
  <c r="F108" i="2"/>
  <c r="G108" i="2"/>
  <c r="A109" i="2"/>
  <c r="E55" i="2"/>
  <c r="F55" i="2" s="1"/>
  <c r="B109" i="2" l="1"/>
  <c r="C109" i="2"/>
  <c r="D109" i="2"/>
  <c r="E109" i="2"/>
  <c r="F109" i="2"/>
  <c r="G109" i="2"/>
  <c r="A110" i="2"/>
  <c r="D56" i="2"/>
  <c r="G55" i="2"/>
  <c r="B110" i="2" l="1"/>
  <c r="C110" i="2"/>
  <c r="D110" i="2"/>
  <c r="E110" i="2"/>
  <c r="F110" i="2"/>
  <c r="G110" i="2"/>
  <c r="A111" i="2"/>
  <c r="E56" i="2"/>
  <c r="F56" i="2" s="1"/>
  <c r="B111" i="2" l="1"/>
  <c r="C111" i="2"/>
  <c r="D111" i="2"/>
  <c r="E111" i="2"/>
  <c r="F111" i="2"/>
  <c r="G111" i="2"/>
  <c r="A112" i="2"/>
  <c r="D57" i="2"/>
  <c r="G56" i="2"/>
  <c r="B112" i="2" l="1"/>
  <c r="C112" i="2"/>
  <c r="D112" i="2"/>
  <c r="E112" i="2"/>
  <c r="F112" i="2"/>
  <c r="G112" i="2"/>
  <c r="A113" i="2"/>
  <c r="E57" i="2"/>
  <c r="F57" i="2" s="1"/>
  <c r="B113" i="2" l="1"/>
  <c r="C113" i="2"/>
  <c r="D113" i="2"/>
  <c r="E113" i="2"/>
  <c r="F113" i="2"/>
  <c r="G113" i="2"/>
  <c r="A114" i="2"/>
  <c r="D58" i="2"/>
  <c r="G57" i="2"/>
  <c r="B114" i="2" l="1"/>
  <c r="C114" i="2"/>
  <c r="D114" i="2"/>
  <c r="E114" i="2"/>
  <c r="F114" i="2"/>
  <c r="G114" i="2"/>
  <c r="A115" i="2"/>
  <c r="E58" i="2"/>
  <c r="F58" i="2" s="1"/>
  <c r="B115" i="2" l="1"/>
  <c r="C115" i="2"/>
  <c r="D115" i="2"/>
  <c r="E115" i="2"/>
  <c r="F115" i="2"/>
  <c r="G115" i="2"/>
  <c r="A116" i="2"/>
  <c r="D59" i="2"/>
  <c r="G58" i="2"/>
  <c r="B116" i="2" l="1"/>
  <c r="C116" i="2"/>
  <c r="D116" i="2"/>
  <c r="E116" i="2"/>
  <c r="F116" i="2"/>
  <c r="G116" i="2"/>
  <c r="A117" i="2"/>
  <c r="E59" i="2"/>
  <c r="F59" i="2" s="1"/>
  <c r="B117" i="2" l="1"/>
  <c r="C117" i="2"/>
  <c r="D117" i="2"/>
  <c r="E117" i="2"/>
  <c r="F117" i="2"/>
  <c r="G117" i="2"/>
  <c r="A118" i="2"/>
  <c r="D60" i="2"/>
  <c r="G59" i="2"/>
  <c r="B118" i="2" l="1"/>
  <c r="C118" i="2"/>
  <c r="D118" i="2"/>
  <c r="E118" i="2"/>
  <c r="F118" i="2"/>
  <c r="G118" i="2"/>
  <c r="A119" i="2"/>
  <c r="E60" i="2"/>
  <c r="F60" i="2"/>
  <c r="C119" i="2" l="1"/>
  <c r="E119" i="2"/>
  <c r="G119" i="2"/>
  <c r="B119" i="2"/>
  <c r="D119" i="2"/>
  <c r="F119" i="2"/>
  <c r="A120" i="2"/>
  <c r="D61" i="2"/>
  <c r="G60" i="2"/>
  <c r="C120" i="2" l="1"/>
  <c r="E120" i="2"/>
  <c r="G120" i="2"/>
  <c r="B120" i="2"/>
  <c r="D120" i="2"/>
  <c r="F120" i="2"/>
  <c r="A121" i="2"/>
  <c r="E61" i="2"/>
  <c r="F61" i="2" s="1"/>
  <c r="E121" i="2" l="1"/>
  <c r="G121" i="2"/>
  <c r="B121" i="2"/>
  <c r="C121" i="2"/>
  <c r="D121" i="2"/>
  <c r="F121" i="2"/>
  <c r="A122" i="2"/>
  <c r="D62" i="2"/>
  <c r="G61" i="2"/>
  <c r="C122" i="2" l="1"/>
  <c r="E122" i="2"/>
  <c r="G122" i="2"/>
  <c r="B122" i="2"/>
  <c r="D122" i="2"/>
  <c r="F122" i="2"/>
  <c r="A123" i="2"/>
  <c r="E62" i="2"/>
  <c r="F62" i="2" s="1"/>
  <c r="G62" i="2" s="1"/>
  <c r="C123" i="2" l="1"/>
  <c r="E123" i="2"/>
  <c r="G123" i="2"/>
  <c r="B123" i="2"/>
  <c r="D123" i="2"/>
  <c r="F123" i="2"/>
  <c r="A124" i="2"/>
  <c r="D124" i="2" l="1"/>
  <c r="F124" i="2"/>
  <c r="A125" i="2"/>
  <c r="B124" i="2"/>
  <c r="C124" i="2"/>
  <c r="E124" i="2"/>
  <c r="G124" i="2"/>
  <c r="C125" i="2" l="1"/>
  <c r="E125" i="2"/>
  <c r="G125" i="2"/>
  <c r="B125" i="2"/>
  <c r="D125" i="2"/>
  <c r="F125" i="2"/>
  <c r="A126" i="2"/>
  <c r="C126" i="2" l="1"/>
  <c r="E126" i="2"/>
  <c r="G126" i="2"/>
  <c r="B126" i="2"/>
  <c r="D126" i="2"/>
  <c r="F126" i="2"/>
  <c r="A127" i="2"/>
  <c r="C127" i="2" l="1"/>
  <c r="E127" i="2"/>
  <c r="G127" i="2"/>
  <c r="B127" i="2"/>
  <c r="D127" i="2"/>
  <c r="F127" i="2"/>
  <c r="A128" i="2"/>
  <c r="C128" i="2" l="1"/>
  <c r="E128" i="2"/>
  <c r="G128" i="2"/>
  <c r="A129" i="2"/>
  <c r="B128" i="2"/>
  <c r="D128" i="2"/>
  <c r="F128" i="2"/>
  <c r="B129" i="2" l="1"/>
  <c r="C129" i="2"/>
  <c r="D129" i="2"/>
  <c r="E129" i="2"/>
  <c r="F129" i="2"/>
  <c r="G129" i="2"/>
  <c r="A130" i="2"/>
  <c r="B130" i="2" l="1"/>
  <c r="C130" i="2"/>
  <c r="D130" i="2"/>
  <c r="E130" i="2"/>
  <c r="F130" i="2"/>
  <c r="G130" i="2"/>
  <c r="A131" i="2"/>
  <c r="B131" i="2" l="1"/>
  <c r="C131" i="2"/>
  <c r="D131" i="2"/>
  <c r="E131" i="2"/>
  <c r="F131" i="2"/>
  <c r="G131" i="2"/>
  <c r="A132" i="2"/>
  <c r="B132" i="2" l="1"/>
  <c r="C132" i="2"/>
  <c r="D132" i="2"/>
  <c r="E132" i="2"/>
  <c r="F132" i="2"/>
  <c r="G132" i="2"/>
  <c r="A133" i="2"/>
  <c r="B133" i="2" l="1"/>
  <c r="C133" i="2"/>
  <c r="D133" i="2"/>
  <c r="E133" i="2"/>
  <c r="F133" i="2"/>
  <c r="G133" i="2"/>
  <c r="A134" i="2"/>
  <c r="B134" i="2" l="1"/>
  <c r="C134" i="2"/>
  <c r="D134" i="2"/>
  <c r="E134" i="2"/>
  <c r="F134" i="2"/>
  <c r="G134" i="2"/>
  <c r="A135" i="2"/>
  <c r="B135" i="2" l="1"/>
  <c r="C135" i="2"/>
  <c r="D135" i="2"/>
  <c r="E135" i="2"/>
  <c r="F135" i="2"/>
  <c r="G135" i="2"/>
  <c r="A136" i="2"/>
  <c r="B136" i="2" l="1"/>
  <c r="C136" i="2"/>
  <c r="D136" i="2"/>
  <c r="E136" i="2"/>
  <c r="F136" i="2"/>
  <c r="G136" i="2"/>
  <c r="A137" i="2"/>
  <c r="B137" i="2" l="1"/>
  <c r="C137" i="2"/>
  <c r="D137" i="2"/>
  <c r="E137" i="2"/>
  <c r="F137" i="2"/>
  <c r="G137" i="2"/>
  <c r="A138" i="2"/>
  <c r="B138" i="2" l="1"/>
  <c r="C138" i="2"/>
  <c r="D138" i="2"/>
  <c r="E138" i="2"/>
  <c r="F138" i="2"/>
  <c r="G138" i="2"/>
  <c r="A139" i="2"/>
  <c r="B139" i="2" l="1"/>
  <c r="C139" i="2"/>
  <c r="D139" i="2"/>
  <c r="E139" i="2"/>
  <c r="F139" i="2"/>
  <c r="G139" i="2"/>
  <c r="A140" i="2"/>
  <c r="B140" i="2" l="1"/>
  <c r="C140" i="2"/>
  <c r="D140" i="2"/>
  <c r="E140" i="2"/>
  <c r="F140" i="2"/>
  <c r="G140" i="2"/>
  <c r="A141" i="2"/>
  <c r="B141" i="2" l="1"/>
  <c r="C141" i="2"/>
  <c r="D141" i="2"/>
  <c r="E141" i="2"/>
  <c r="F141" i="2"/>
  <c r="G141" i="2"/>
  <c r="A142" i="2"/>
  <c r="B142" i="2" l="1"/>
  <c r="C142" i="2"/>
  <c r="D142" i="2"/>
  <c r="E142" i="2"/>
  <c r="F142" i="2"/>
  <c r="G142" i="2"/>
  <c r="A143" i="2"/>
  <c r="B143" i="2" l="1"/>
  <c r="C143" i="2"/>
  <c r="D143" i="2"/>
  <c r="E143" i="2"/>
  <c r="F143" i="2"/>
  <c r="G143" i="2"/>
  <c r="A144" i="2"/>
  <c r="B144" i="2" l="1"/>
  <c r="C144" i="2"/>
  <c r="D144" i="2"/>
  <c r="E144" i="2"/>
  <c r="F144" i="2"/>
  <c r="G144" i="2"/>
  <c r="A145" i="2"/>
  <c r="B145" i="2" l="1"/>
  <c r="C145" i="2"/>
  <c r="D145" i="2"/>
  <c r="E145" i="2"/>
  <c r="F145" i="2"/>
  <c r="G145" i="2"/>
  <c r="A146" i="2"/>
  <c r="B146" i="2" l="1"/>
  <c r="C146" i="2"/>
  <c r="D146" i="2"/>
  <c r="E146" i="2"/>
  <c r="F146" i="2"/>
  <c r="G146" i="2"/>
  <c r="A147" i="2"/>
  <c r="B147" i="2" l="1"/>
  <c r="C147" i="2"/>
  <c r="D147" i="2"/>
  <c r="E147" i="2"/>
  <c r="F147" i="2"/>
  <c r="G147" i="2"/>
  <c r="A148" i="2"/>
  <c r="B148" i="2" l="1"/>
  <c r="C148" i="2"/>
  <c r="D148" i="2"/>
  <c r="E148" i="2"/>
  <c r="F148" i="2"/>
  <c r="G148" i="2"/>
  <c r="A149" i="2"/>
  <c r="B149" i="2" l="1"/>
  <c r="C149" i="2"/>
  <c r="D149" i="2"/>
  <c r="E149" i="2"/>
  <c r="F149" i="2"/>
  <c r="G149" i="2"/>
  <c r="A150" i="2"/>
  <c r="B150" i="2" l="1"/>
  <c r="C150" i="2"/>
  <c r="D150" i="2"/>
  <c r="E150" i="2"/>
  <c r="F150" i="2"/>
  <c r="G150" i="2"/>
  <c r="A151" i="2"/>
  <c r="B151" i="2" l="1"/>
  <c r="C151" i="2"/>
  <c r="D151" i="2"/>
  <c r="E151" i="2"/>
  <c r="F151" i="2"/>
  <c r="G151" i="2"/>
  <c r="A152" i="2"/>
  <c r="B152" i="2" l="1"/>
  <c r="C152" i="2"/>
  <c r="D152" i="2"/>
  <c r="E152" i="2"/>
  <c r="F152" i="2"/>
  <c r="G152" i="2"/>
  <c r="A153" i="2"/>
  <c r="B153" i="2" l="1"/>
  <c r="C153" i="2"/>
  <c r="D153" i="2"/>
  <c r="E153" i="2"/>
  <c r="F153" i="2"/>
  <c r="G153" i="2"/>
  <c r="A154" i="2"/>
  <c r="B154" i="2" l="1"/>
  <c r="C154" i="2"/>
  <c r="D154" i="2"/>
  <c r="E154" i="2"/>
  <c r="F154" i="2"/>
  <c r="G154" i="2"/>
  <c r="A155" i="2"/>
  <c r="B155" i="2" l="1"/>
  <c r="C155" i="2"/>
  <c r="D155" i="2"/>
  <c r="E155" i="2"/>
  <c r="F155" i="2"/>
  <c r="G155" i="2"/>
  <c r="A156" i="2"/>
  <c r="B156" i="2" l="1"/>
  <c r="C156" i="2"/>
  <c r="D156" i="2"/>
  <c r="E156" i="2"/>
  <c r="F156" i="2"/>
  <c r="G156" i="2"/>
  <c r="A157" i="2"/>
  <c r="B157" i="2" l="1"/>
  <c r="C157" i="2"/>
  <c r="D157" i="2"/>
  <c r="E157" i="2"/>
  <c r="F157" i="2"/>
  <c r="G157" i="2"/>
  <c r="A158" i="2"/>
  <c r="B158" i="2" l="1"/>
  <c r="C158" i="2"/>
  <c r="D158" i="2"/>
  <c r="E158" i="2"/>
  <c r="F158" i="2"/>
  <c r="G158" i="2"/>
  <c r="A159" i="2"/>
  <c r="B159" i="2" l="1"/>
  <c r="C159" i="2"/>
  <c r="D159" i="2"/>
  <c r="E159" i="2"/>
  <c r="F159" i="2"/>
  <c r="G159" i="2"/>
  <c r="A160" i="2"/>
  <c r="B160" i="2" l="1"/>
  <c r="C160" i="2"/>
  <c r="D160" i="2"/>
  <c r="E160" i="2"/>
  <c r="F160" i="2"/>
  <c r="G160" i="2"/>
  <c r="A161" i="2"/>
  <c r="B161" i="2" l="1"/>
  <c r="C161" i="2"/>
  <c r="D161" i="2"/>
  <c r="E161" i="2"/>
  <c r="F161" i="2"/>
  <c r="G161" i="2"/>
  <c r="A162" i="2"/>
  <c r="B162" i="2" l="1"/>
  <c r="C162" i="2"/>
  <c r="D162" i="2"/>
  <c r="E162" i="2"/>
  <c r="F162" i="2"/>
  <c r="G162" i="2"/>
  <c r="A163" i="2"/>
  <c r="B163" i="2" l="1"/>
  <c r="C163" i="2"/>
  <c r="D163" i="2"/>
  <c r="E163" i="2"/>
  <c r="F163" i="2"/>
  <c r="G163" i="2"/>
  <c r="A164" i="2"/>
  <c r="B164" i="2" l="1"/>
  <c r="C164" i="2"/>
  <c r="D164" i="2"/>
  <c r="E164" i="2"/>
  <c r="F164" i="2"/>
  <c r="G164" i="2"/>
  <c r="A165" i="2"/>
  <c r="B165" i="2" l="1"/>
  <c r="C165" i="2"/>
  <c r="D165" i="2"/>
  <c r="E165" i="2"/>
  <c r="F165" i="2"/>
  <c r="G165" i="2"/>
  <c r="A166" i="2"/>
  <c r="B166" i="2" l="1"/>
  <c r="C166" i="2"/>
  <c r="D166" i="2"/>
  <c r="E166" i="2"/>
  <c r="F166" i="2"/>
  <c r="G166" i="2"/>
  <c r="A167" i="2"/>
  <c r="B167" i="2" l="1"/>
  <c r="C167" i="2"/>
  <c r="D167" i="2"/>
  <c r="E167" i="2"/>
  <c r="F167" i="2"/>
  <c r="G167" i="2"/>
  <c r="A168" i="2"/>
  <c r="B168" i="2" l="1"/>
  <c r="C168" i="2"/>
  <c r="D168" i="2"/>
  <c r="E168" i="2"/>
  <c r="F168" i="2"/>
  <c r="G168" i="2"/>
  <c r="A169" i="2"/>
  <c r="B169" i="2" l="1"/>
  <c r="C169" i="2"/>
  <c r="D169" i="2"/>
  <c r="E169" i="2"/>
  <c r="F169" i="2"/>
  <c r="G169" i="2"/>
  <c r="A170" i="2"/>
  <c r="B170" i="2" l="1"/>
  <c r="C170" i="2"/>
  <c r="D170" i="2"/>
  <c r="E170" i="2"/>
  <c r="F170" i="2"/>
  <c r="G170" i="2"/>
  <c r="A171" i="2"/>
  <c r="B171" i="2" l="1"/>
  <c r="C171" i="2"/>
  <c r="D171" i="2"/>
  <c r="E171" i="2"/>
  <c r="F171" i="2"/>
  <c r="G171" i="2"/>
  <c r="A172" i="2"/>
  <c r="B172" i="2" l="1"/>
  <c r="C172" i="2"/>
  <c r="D172" i="2"/>
  <c r="E172" i="2"/>
  <c r="F172" i="2"/>
  <c r="G172" i="2"/>
  <c r="A173" i="2"/>
  <c r="B173" i="2" l="1"/>
  <c r="C173" i="2"/>
  <c r="D173" i="2"/>
  <c r="E173" i="2"/>
  <c r="F173" i="2"/>
  <c r="G173" i="2"/>
  <c r="A174" i="2"/>
  <c r="B174" i="2" l="1"/>
  <c r="C174" i="2"/>
  <c r="D174" i="2"/>
  <c r="E174" i="2"/>
  <c r="F174" i="2"/>
  <c r="G174" i="2"/>
  <c r="A175" i="2"/>
  <c r="B175" i="2" l="1"/>
  <c r="C175" i="2"/>
  <c r="D175" i="2"/>
  <c r="E175" i="2"/>
  <c r="F175" i="2"/>
  <c r="G175" i="2"/>
  <c r="A176" i="2"/>
  <c r="B176" i="2" l="1"/>
  <c r="C176" i="2"/>
  <c r="D176" i="2"/>
  <c r="E176" i="2"/>
  <c r="F176" i="2"/>
  <c r="G176" i="2"/>
  <c r="A177" i="2"/>
  <c r="B177" i="2" l="1"/>
  <c r="C177" i="2"/>
  <c r="D177" i="2"/>
  <c r="E177" i="2"/>
  <c r="F177" i="2"/>
  <c r="G177" i="2"/>
  <c r="A178" i="2"/>
  <c r="B178" i="2" l="1"/>
  <c r="C178" i="2"/>
  <c r="D178" i="2"/>
  <c r="E178" i="2"/>
  <c r="F178" i="2"/>
  <c r="G178" i="2"/>
  <c r="A179" i="2"/>
  <c r="B179" i="2" l="1"/>
  <c r="C179" i="2"/>
  <c r="D179" i="2"/>
  <c r="E179" i="2"/>
  <c r="F179" i="2"/>
  <c r="G179" i="2"/>
  <c r="A180" i="2"/>
  <c r="B180" i="2" l="1"/>
  <c r="C180" i="2"/>
  <c r="D180" i="2"/>
  <c r="E180" i="2"/>
  <c r="F180" i="2"/>
  <c r="G180" i="2"/>
  <c r="A181" i="2"/>
  <c r="B181" i="2" l="1"/>
  <c r="C181" i="2"/>
  <c r="D181" i="2"/>
  <c r="E181" i="2"/>
  <c r="F181" i="2"/>
  <c r="G181" i="2"/>
  <c r="A182" i="2"/>
  <c r="B182" i="2" l="1"/>
  <c r="C182" i="2"/>
  <c r="D182" i="2"/>
  <c r="E182" i="2"/>
  <c r="F182" i="2"/>
  <c r="G182" i="2"/>
  <c r="A183" i="2"/>
  <c r="B183" i="2" l="1"/>
  <c r="C183" i="2"/>
  <c r="D183" i="2"/>
  <c r="E183" i="2"/>
  <c r="F183" i="2"/>
  <c r="G183" i="2"/>
  <c r="A184" i="2"/>
  <c r="B184" i="2" l="1"/>
  <c r="C184" i="2"/>
  <c r="D184" i="2"/>
  <c r="E184" i="2"/>
  <c r="F184" i="2"/>
  <c r="G184" i="2"/>
  <c r="A185" i="2"/>
  <c r="B185" i="2" l="1"/>
  <c r="C185" i="2"/>
  <c r="D185" i="2"/>
  <c r="E185" i="2"/>
  <c r="F185" i="2"/>
  <c r="G185" i="2"/>
  <c r="A186" i="2"/>
  <c r="B186" i="2" l="1"/>
  <c r="C186" i="2"/>
  <c r="D186" i="2"/>
  <c r="E186" i="2"/>
  <c r="F186" i="2"/>
  <c r="G186" i="2"/>
  <c r="A187" i="2"/>
  <c r="B187" i="2" l="1"/>
  <c r="C187" i="2"/>
  <c r="D187" i="2"/>
  <c r="E187" i="2"/>
  <c r="F187" i="2"/>
  <c r="G187" i="2"/>
  <c r="A188" i="2"/>
  <c r="B188" i="2" l="1"/>
  <c r="C188" i="2"/>
  <c r="D188" i="2"/>
  <c r="E188" i="2"/>
  <c r="F188" i="2"/>
  <c r="G188" i="2"/>
  <c r="A189" i="2"/>
  <c r="B189" i="2" l="1"/>
  <c r="C189" i="2"/>
  <c r="D189" i="2"/>
  <c r="E189" i="2"/>
  <c r="F189" i="2"/>
  <c r="G189" i="2"/>
  <c r="A190" i="2"/>
  <c r="B190" i="2" l="1"/>
  <c r="C190" i="2"/>
  <c r="D190" i="2"/>
  <c r="E190" i="2"/>
  <c r="F190" i="2"/>
  <c r="G190" i="2"/>
  <c r="A191" i="2"/>
  <c r="B191" i="2" l="1"/>
  <c r="C191" i="2"/>
  <c r="D191" i="2"/>
  <c r="E191" i="2"/>
  <c r="F191" i="2"/>
  <c r="G191" i="2"/>
  <c r="A192" i="2"/>
  <c r="B192" i="2" l="1"/>
  <c r="C192" i="2"/>
  <c r="D192" i="2"/>
  <c r="E192" i="2"/>
  <c r="F192" i="2"/>
  <c r="G192" i="2"/>
  <c r="A193" i="2"/>
  <c r="B193" i="2" l="1"/>
  <c r="C193" i="2"/>
  <c r="D193" i="2"/>
  <c r="E193" i="2"/>
  <c r="F193" i="2"/>
  <c r="G193" i="2"/>
  <c r="A194" i="2"/>
  <c r="B194" i="2" l="1"/>
  <c r="C194" i="2"/>
  <c r="D194" i="2"/>
  <c r="E194" i="2"/>
  <c r="F194" i="2"/>
  <c r="G194" i="2"/>
  <c r="A195" i="2"/>
  <c r="B195" i="2" l="1"/>
  <c r="C195" i="2"/>
  <c r="D195" i="2"/>
  <c r="E195" i="2"/>
  <c r="F195" i="2"/>
  <c r="G195" i="2"/>
  <c r="A196" i="2"/>
  <c r="B196" i="2" l="1"/>
  <c r="C196" i="2"/>
  <c r="D196" i="2"/>
  <c r="E196" i="2"/>
  <c r="F196" i="2"/>
  <c r="G196" i="2"/>
  <c r="A197" i="2"/>
  <c r="B197" i="2" l="1"/>
  <c r="C197" i="2"/>
  <c r="D197" i="2"/>
  <c r="E197" i="2"/>
  <c r="F197" i="2"/>
  <c r="G197" i="2"/>
  <c r="A198" i="2"/>
  <c r="B198" i="2" l="1"/>
  <c r="C198" i="2"/>
  <c r="D198" i="2"/>
  <c r="E198" i="2"/>
  <c r="F198" i="2"/>
  <c r="G198" i="2"/>
  <c r="A199" i="2"/>
  <c r="B199" i="2" l="1"/>
  <c r="C199" i="2"/>
  <c r="D199" i="2"/>
  <c r="E199" i="2"/>
  <c r="F199" i="2"/>
  <c r="G199" i="2"/>
  <c r="A200" i="2"/>
  <c r="B200" i="2" l="1"/>
  <c r="C200" i="2"/>
  <c r="D200" i="2"/>
  <c r="E200" i="2"/>
  <c r="F200" i="2"/>
  <c r="G200" i="2"/>
  <c r="A201" i="2"/>
  <c r="B201" i="2" l="1"/>
  <c r="C201" i="2"/>
  <c r="D201" i="2"/>
  <c r="E201" i="2"/>
  <c r="F201" i="2"/>
  <c r="G201" i="2"/>
  <c r="A202" i="2"/>
  <c r="B202" i="2" l="1"/>
  <c r="C202" i="2"/>
  <c r="D202" i="2"/>
  <c r="E202" i="2"/>
  <c r="F202" i="2"/>
  <c r="G202" i="2"/>
  <c r="A203" i="2"/>
  <c r="B203" i="2" l="1"/>
  <c r="C203" i="2"/>
  <c r="D203" i="2"/>
  <c r="E203" i="2"/>
  <c r="F203" i="2"/>
  <c r="G203" i="2"/>
  <c r="A204" i="2"/>
  <c r="B204" i="2" l="1"/>
  <c r="C204" i="2"/>
  <c r="D204" i="2"/>
  <c r="E204" i="2"/>
  <c r="F204" i="2"/>
  <c r="G204" i="2"/>
  <c r="A205" i="2"/>
  <c r="B205" i="2" l="1"/>
  <c r="C205" i="2"/>
  <c r="D205" i="2"/>
  <c r="E205" i="2"/>
  <c r="F205" i="2"/>
  <c r="G205" i="2"/>
  <c r="A206" i="2"/>
  <c r="B206" i="2" l="1"/>
  <c r="C206" i="2"/>
  <c r="D206" i="2"/>
  <c r="E206" i="2"/>
  <c r="F206" i="2"/>
  <c r="G206" i="2"/>
  <c r="A207" i="2"/>
  <c r="B207" i="2" l="1"/>
  <c r="C207" i="2"/>
  <c r="D207" i="2"/>
  <c r="E207" i="2"/>
  <c r="F207" i="2"/>
  <c r="G207" i="2"/>
  <c r="A208" i="2"/>
  <c r="B208" i="2" l="1"/>
  <c r="C208" i="2"/>
  <c r="D208" i="2"/>
  <c r="E208" i="2"/>
  <c r="F208" i="2"/>
  <c r="G208" i="2"/>
  <c r="A209" i="2"/>
  <c r="B209" i="2" l="1"/>
  <c r="C209" i="2"/>
  <c r="D209" i="2"/>
  <c r="E209" i="2"/>
  <c r="F209" i="2"/>
  <c r="G209" i="2"/>
  <c r="A210" i="2"/>
  <c r="B210" i="2" l="1"/>
  <c r="C210" i="2"/>
  <c r="D210" i="2"/>
  <c r="E210" i="2"/>
  <c r="F210" i="2"/>
  <c r="G210" i="2"/>
  <c r="A211" i="2"/>
  <c r="B211" i="2" l="1"/>
  <c r="C211" i="2"/>
  <c r="D211" i="2"/>
  <c r="E211" i="2"/>
  <c r="F211" i="2"/>
  <c r="G211" i="2"/>
  <c r="A212" i="2"/>
  <c r="B212" i="2" l="1"/>
  <c r="C212" i="2"/>
  <c r="D212" i="2"/>
  <c r="E212" i="2"/>
  <c r="F212" i="2"/>
  <c r="G212" i="2"/>
  <c r="A213" i="2"/>
  <c r="B213" i="2" l="1"/>
  <c r="C213" i="2"/>
  <c r="D213" i="2"/>
  <c r="E213" i="2"/>
  <c r="F213" i="2"/>
  <c r="G213" i="2"/>
  <c r="A214" i="2"/>
  <c r="B214" i="2" l="1"/>
  <c r="C214" i="2"/>
  <c r="D214" i="2"/>
  <c r="E214" i="2"/>
  <c r="F214" i="2"/>
  <c r="G214" i="2"/>
  <c r="A215" i="2"/>
  <c r="B215" i="2" l="1"/>
  <c r="C215" i="2"/>
  <c r="D215" i="2"/>
  <c r="E215" i="2"/>
  <c r="F215" i="2"/>
  <c r="G215" i="2"/>
  <c r="A216" i="2"/>
  <c r="B216" i="2" l="1"/>
  <c r="C216" i="2"/>
  <c r="D216" i="2"/>
  <c r="E216" i="2"/>
  <c r="F216" i="2"/>
  <c r="G216" i="2"/>
  <c r="A217" i="2"/>
  <c r="B217" i="2" l="1"/>
  <c r="C217" i="2"/>
  <c r="D217" i="2"/>
  <c r="E217" i="2"/>
  <c r="F217" i="2"/>
  <c r="G217" i="2"/>
  <c r="A218" i="2"/>
  <c r="B218" i="2" l="1"/>
  <c r="C218" i="2"/>
  <c r="D218" i="2"/>
  <c r="E218" i="2"/>
  <c r="F218" i="2"/>
  <c r="G218" i="2"/>
  <c r="A219" i="2"/>
  <c r="B219" i="2" l="1"/>
  <c r="C219" i="2"/>
  <c r="D219" i="2"/>
  <c r="E219" i="2"/>
  <c r="F219" i="2"/>
  <c r="G219" i="2"/>
  <c r="A220" i="2"/>
  <c r="B220" i="2" l="1"/>
  <c r="C220" i="2"/>
  <c r="D220" i="2"/>
  <c r="E220" i="2"/>
  <c r="F220" i="2"/>
  <c r="G220" i="2"/>
  <c r="A221" i="2"/>
  <c r="B221" i="2" l="1"/>
  <c r="C221" i="2"/>
  <c r="D221" i="2"/>
  <c r="E221" i="2"/>
  <c r="F221" i="2"/>
  <c r="G221" i="2"/>
  <c r="A222" i="2"/>
  <c r="B222" i="2" l="1"/>
  <c r="C222" i="2"/>
  <c r="D222" i="2"/>
  <c r="E222" i="2"/>
  <c r="F222" i="2"/>
  <c r="G222" i="2"/>
  <c r="A223" i="2"/>
  <c r="B223" i="2" l="1"/>
  <c r="C223" i="2"/>
  <c r="D223" i="2"/>
  <c r="E223" i="2"/>
  <c r="F223" i="2"/>
  <c r="G223" i="2"/>
  <c r="A224" i="2"/>
  <c r="B224" i="2" l="1"/>
  <c r="C224" i="2"/>
  <c r="D224" i="2"/>
  <c r="E224" i="2"/>
  <c r="F224" i="2"/>
  <c r="G224" i="2"/>
  <c r="A225" i="2"/>
  <c r="B225" i="2" l="1"/>
  <c r="C225" i="2"/>
  <c r="D225" i="2"/>
  <c r="E225" i="2"/>
  <c r="F225" i="2"/>
  <c r="G225" i="2"/>
  <c r="A226" i="2"/>
  <c r="B226" i="2" l="1"/>
  <c r="C226" i="2"/>
  <c r="D226" i="2"/>
  <c r="E226" i="2"/>
  <c r="F226" i="2"/>
  <c r="G226" i="2"/>
  <c r="A227" i="2"/>
  <c r="B227" i="2" l="1"/>
  <c r="C227" i="2"/>
  <c r="D227" i="2"/>
  <c r="E227" i="2"/>
  <c r="F227" i="2"/>
  <c r="G227" i="2"/>
  <c r="A228" i="2"/>
  <c r="B228" i="2" l="1"/>
  <c r="C228" i="2"/>
  <c r="D228" i="2"/>
  <c r="E228" i="2"/>
  <c r="F228" i="2"/>
  <c r="G228" i="2"/>
  <c r="A229" i="2"/>
  <c r="B229" i="2" l="1"/>
  <c r="C229" i="2"/>
  <c r="D229" i="2"/>
  <c r="E229" i="2"/>
  <c r="F229" i="2"/>
  <c r="G229" i="2"/>
  <c r="A230" i="2"/>
  <c r="B230" i="2" l="1"/>
  <c r="C230" i="2"/>
  <c r="D230" i="2"/>
  <c r="E230" i="2"/>
  <c r="F230" i="2"/>
  <c r="G230" i="2"/>
  <c r="A231" i="2"/>
  <c r="B231" i="2" l="1"/>
  <c r="C231" i="2"/>
  <c r="D231" i="2"/>
  <c r="E231" i="2"/>
  <c r="F231" i="2"/>
  <c r="G231" i="2"/>
  <c r="A232" i="2"/>
  <c r="B232" i="2" l="1"/>
  <c r="C232" i="2"/>
  <c r="D232" i="2"/>
  <c r="E232" i="2"/>
  <c r="F232" i="2"/>
  <c r="G232" i="2"/>
  <c r="A233" i="2"/>
  <c r="B233" i="2" l="1"/>
  <c r="C233" i="2"/>
  <c r="D233" i="2"/>
  <c r="E233" i="2"/>
  <c r="F233" i="2"/>
  <c r="G233" i="2"/>
  <c r="A234" i="2"/>
  <c r="B234" i="2" l="1"/>
  <c r="C234" i="2"/>
  <c r="D234" i="2"/>
  <c r="E234" i="2"/>
  <c r="F234" i="2"/>
  <c r="G234" i="2"/>
  <c r="A235" i="2"/>
  <c r="B235" i="2" l="1"/>
  <c r="C235" i="2"/>
  <c r="D235" i="2"/>
  <c r="E235" i="2"/>
  <c r="F235" i="2"/>
  <c r="G235" i="2"/>
  <c r="A236" i="2"/>
  <c r="B236" i="2" l="1"/>
  <c r="C236" i="2"/>
  <c r="D236" i="2"/>
  <c r="E236" i="2"/>
  <c r="F236" i="2"/>
  <c r="G236" i="2"/>
  <c r="A237" i="2"/>
  <c r="B237" i="2" l="1"/>
  <c r="C237" i="2"/>
  <c r="D237" i="2"/>
  <c r="E237" i="2"/>
  <c r="F237" i="2"/>
  <c r="G237" i="2"/>
  <c r="A238" i="2"/>
  <c r="B238" i="2" l="1"/>
  <c r="C238" i="2"/>
  <c r="D238" i="2"/>
  <c r="E238" i="2"/>
  <c r="F238" i="2"/>
  <c r="G238" i="2"/>
  <c r="A239" i="2"/>
  <c r="B239" i="2" l="1"/>
  <c r="C239" i="2"/>
  <c r="D239" i="2"/>
  <c r="E239" i="2"/>
  <c r="F239" i="2"/>
  <c r="G239" i="2"/>
  <c r="A240" i="2"/>
  <c r="B240" i="2" l="1"/>
  <c r="C240" i="2"/>
  <c r="D240" i="2"/>
  <c r="E240" i="2"/>
  <c r="F240" i="2"/>
  <c r="G240" i="2"/>
  <c r="A241" i="2"/>
  <c r="B241" i="2" l="1"/>
  <c r="C241" i="2"/>
  <c r="D241" i="2"/>
  <c r="E241" i="2"/>
  <c r="F241" i="2"/>
  <c r="G241" i="2"/>
  <c r="A242" i="2"/>
  <c r="B242" i="2" l="1"/>
  <c r="C242" i="2"/>
  <c r="D242" i="2"/>
  <c r="E242" i="2"/>
  <c r="F242" i="2"/>
  <c r="G242" i="2"/>
  <c r="A243" i="2"/>
  <c r="B243" i="2" l="1"/>
  <c r="C243" i="2"/>
  <c r="D243" i="2"/>
  <c r="E243" i="2"/>
  <c r="F243" i="2"/>
  <c r="G243" i="2"/>
  <c r="A244" i="2"/>
  <c r="B244" i="2" l="1"/>
  <c r="C244" i="2"/>
  <c r="D244" i="2"/>
  <c r="E244" i="2"/>
  <c r="F244" i="2"/>
  <c r="G244" i="2"/>
  <c r="A245" i="2"/>
  <c r="B245" i="2" l="1"/>
  <c r="C245" i="2"/>
  <c r="D245" i="2"/>
  <c r="E245" i="2"/>
  <c r="F245" i="2"/>
  <c r="G245" i="2"/>
  <c r="A246" i="2"/>
  <c r="B246" i="2" l="1"/>
  <c r="C246" i="2"/>
  <c r="D246" i="2"/>
  <c r="E246" i="2"/>
  <c r="F246" i="2"/>
  <c r="G246" i="2"/>
  <c r="A247" i="2"/>
  <c r="B247" i="2" l="1"/>
  <c r="C247" i="2"/>
  <c r="D247" i="2"/>
  <c r="E247" i="2"/>
  <c r="F247" i="2"/>
  <c r="G247" i="2"/>
  <c r="A248" i="2"/>
  <c r="B248" i="2" l="1"/>
  <c r="C248" i="2"/>
  <c r="D248" i="2"/>
  <c r="E248" i="2"/>
  <c r="F248" i="2"/>
  <c r="G248" i="2"/>
  <c r="A249" i="2"/>
  <c r="B249" i="2" l="1"/>
  <c r="C249" i="2"/>
  <c r="D249" i="2"/>
  <c r="E249" i="2"/>
  <c r="F249" i="2"/>
  <c r="G249" i="2"/>
  <c r="A250" i="2"/>
  <c r="B250" i="2" l="1"/>
  <c r="C250" i="2"/>
  <c r="D250" i="2"/>
  <c r="E250" i="2"/>
  <c r="F250" i="2"/>
  <c r="G250" i="2"/>
  <c r="A251" i="2"/>
  <c r="B251" i="2" l="1"/>
  <c r="C251" i="2"/>
  <c r="D251" i="2"/>
  <c r="E251" i="2"/>
  <c r="F251" i="2"/>
  <c r="G251" i="2"/>
  <c r="A252" i="2"/>
  <c r="B252" i="2" l="1"/>
  <c r="C252" i="2"/>
  <c r="D252" i="2"/>
  <c r="E252" i="2"/>
  <c r="F252" i="2"/>
  <c r="G252" i="2"/>
  <c r="A253" i="2"/>
  <c r="B253" i="2" l="1"/>
  <c r="C253" i="2"/>
  <c r="D253" i="2"/>
  <c r="E253" i="2"/>
  <c r="F253" i="2"/>
  <c r="G253" i="2"/>
  <c r="A254" i="2"/>
  <c r="B254" i="2" l="1"/>
  <c r="C254" i="2"/>
  <c r="D254" i="2"/>
  <c r="E254" i="2"/>
  <c r="F254" i="2"/>
  <c r="G254" i="2"/>
  <c r="A255" i="2"/>
  <c r="B255" i="2" l="1"/>
  <c r="C255" i="2"/>
  <c r="D255" i="2"/>
  <c r="E255" i="2"/>
  <c r="F255" i="2"/>
  <c r="G255" i="2"/>
  <c r="A256" i="2"/>
  <c r="B256" i="2" l="1"/>
  <c r="C256" i="2"/>
  <c r="D256" i="2"/>
  <c r="E256" i="2"/>
  <c r="F256" i="2"/>
  <c r="G256" i="2"/>
  <c r="A257" i="2"/>
  <c r="B257" i="2" l="1"/>
  <c r="C257" i="2"/>
  <c r="D257" i="2"/>
  <c r="E257" i="2"/>
  <c r="F257" i="2"/>
  <c r="G257" i="2"/>
  <c r="A258" i="2"/>
  <c r="B258" i="2" l="1"/>
  <c r="C258" i="2"/>
  <c r="D258" i="2"/>
  <c r="E258" i="2"/>
  <c r="F258" i="2"/>
  <c r="G258" i="2"/>
  <c r="A259" i="2"/>
  <c r="B259" i="2" l="1"/>
  <c r="C259" i="2"/>
  <c r="D259" i="2"/>
  <c r="E259" i="2"/>
  <c r="F259" i="2"/>
  <c r="G259" i="2"/>
  <c r="A260" i="2"/>
  <c r="B260" i="2" l="1"/>
  <c r="C260" i="2"/>
  <c r="D260" i="2"/>
  <c r="E260" i="2"/>
  <c r="F260" i="2"/>
  <c r="G260" i="2"/>
  <c r="A261" i="2"/>
  <c r="B261" i="2" l="1"/>
  <c r="C261" i="2"/>
  <c r="D261" i="2"/>
  <c r="E261" i="2"/>
  <c r="F261" i="2"/>
  <c r="G261" i="2"/>
  <c r="A262" i="2"/>
  <c r="B262" i="2" l="1"/>
  <c r="C262" i="2"/>
  <c r="D262" i="2"/>
  <c r="E262" i="2"/>
  <c r="F262" i="2"/>
  <c r="G262" i="2"/>
  <c r="A263" i="2"/>
  <c r="B263" i="2" l="1"/>
  <c r="C263" i="2"/>
  <c r="D263" i="2"/>
  <c r="E263" i="2"/>
  <c r="F263" i="2"/>
  <c r="G263" i="2"/>
  <c r="A264" i="2"/>
  <c r="B264" i="2" l="1"/>
  <c r="C264" i="2"/>
  <c r="D264" i="2"/>
  <c r="E264" i="2"/>
  <c r="F264" i="2"/>
  <c r="G264" i="2"/>
  <c r="A265" i="2"/>
  <c r="B265" i="2" l="1"/>
  <c r="C265" i="2"/>
  <c r="D265" i="2"/>
  <c r="E265" i="2"/>
  <c r="F265" i="2"/>
  <c r="G265" i="2"/>
  <c r="A266" i="2"/>
  <c r="B266" i="2" l="1"/>
  <c r="C266" i="2"/>
  <c r="D266" i="2"/>
  <c r="E266" i="2"/>
  <c r="F266" i="2"/>
  <c r="G266" i="2"/>
  <c r="A267" i="2"/>
  <c r="B267" i="2" l="1"/>
  <c r="C267" i="2"/>
  <c r="D267" i="2"/>
  <c r="E267" i="2"/>
  <c r="F267" i="2"/>
  <c r="G267" i="2"/>
  <c r="A268" i="2"/>
  <c r="B268" i="2" l="1"/>
  <c r="C268" i="2"/>
  <c r="D268" i="2"/>
  <c r="E268" i="2"/>
  <c r="F268" i="2"/>
  <c r="G268" i="2"/>
  <c r="A269" i="2"/>
  <c r="B269" i="2" l="1"/>
  <c r="C269" i="2"/>
  <c r="D269" i="2"/>
  <c r="E269" i="2"/>
  <c r="F269" i="2"/>
  <c r="G269" i="2"/>
  <c r="A270" i="2"/>
  <c r="B270" i="2" l="1"/>
  <c r="C270" i="2"/>
  <c r="D270" i="2"/>
  <c r="E270" i="2"/>
  <c r="F270" i="2"/>
  <c r="G270" i="2"/>
  <c r="A271" i="2"/>
  <c r="B271" i="2" l="1"/>
  <c r="C271" i="2"/>
  <c r="D271" i="2"/>
  <c r="E271" i="2"/>
  <c r="F271" i="2"/>
  <c r="G271" i="2"/>
  <c r="A272" i="2"/>
  <c r="B272" i="2" l="1"/>
  <c r="C272" i="2"/>
  <c r="D272" i="2"/>
  <c r="E272" i="2"/>
  <c r="F272" i="2"/>
  <c r="G272" i="2"/>
  <c r="A273" i="2"/>
  <c r="B273" i="2" l="1"/>
  <c r="C273" i="2"/>
  <c r="D273" i="2"/>
  <c r="E273" i="2"/>
  <c r="F273" i="2"/>
  <c r="G273" i="2"/>
  <c r="A274" i="2"/>
  <c r="B274" i="2" l="1"/>
  <c r="C274" i="2"/>
  <c r="D274" i="2"/>
  <c r="E274" i="2"/>
  <c r="F274" i="2"/>
  <c r="G274" i="2"/>
  <c r="A275" i="2"/>
  <c r="B275" i="2" l="1"/>
  <c r="C275" i="2"/>
  <c r="D275" i="2"/>
  <c r="E275" i="2"/>
  <c r="F275" i="2"/>
  <c r="G275" i="2"/>
  <c r="A276" i="2"/>
  <c r="B276" i="2" l="1"/>
  <c r="C276" i="2"/>
  <c r="D276" i="2"/>
  <c r="E276" i="2"/>
  <c r="F276" i="2"/>
  <c r="G276" i="2"/>
  <c r="A277" i="2"/>
  <c r="B277" i="2" l="1"/>
  <c r="C277" i="2"/>
  <c r="D277" i="2"/>
  <c r="E277" i="2"/>
  <c r="F277" i="2"/>
  <c r="G277" i="2"/>
  <c r="A278" i="2"/>
  <c r="B278" i="2" l="1"/>
  <c r="C278" i="2"/>
  <c r="D278" i="2"/>
  <c r="E278" i="2"/>
  <c r="F278" i="2"/>
  <c r="G278" i="2"/>
  <c r="A279" i="2"/>
  <c r="B279" i="2" l="1"/>
  <c r="C279" i="2"/>
  <c r="D279" i="2"/>
  <c r="E279" i="2"/>
  <c r="F279" i="2"/>
  <c r="G279" i="2"/>
  <c r="A280" i="2"/>
  <c r="B280" i="2" l="1"/>
  <c r="C280" i="2"/>
  <c r="D280" i="2"/>
  <c r="E280" i="2"/>
  <c r="F280" i="2"/>
  <c r="G280" i="2"/>
  <c r="A281" i="2"/>
  <c r="B281" i="2" l="1"/>
  <c r="C281" i="2"/>
  <c r="D281" i="2"/>
  <c r="E281" i="2"/>
  <c r="F281" i="2"/>
  <c r="G281" i="2"/>
  <c r="A282" i="2"/>
  <c r="B282" i="2" l="1"/>
  <c r="C282" i="2"/>
  <c r="D282" i="2"/>
  <c r="E282" i="2"/>
  <c r="F282" i="2"/>
  <c r="G282" i="2"/>
  <c r="A283" i="2"/>
  <c r="B283" i="2" l="1"/>
  <c r="C283" i="2"/>
  <c r="D283" i="2"/>
  <c r="E283" i="2"/>
  <c r="F283" i="2"/>
  <c r="G283" i="2"/>
  <c r="A284" i="2"/>
  <c r="B284" i="2" l="1"/>
  <c r="C284" i="2"/>
  <c r="D284" i="2"/>
  <c r="E284" i="2"/>
  <c r="F284" i="2"/>
  <c r="G284" i="2"/>
  <c r="A285" i="2"/>
  <c r="B285" i="2" l="1"/>
  <c r="C285" i="2"/>
  <c r="D285" i="2"/>
  <c r="E285" i="2"/>
  <c r="F285" i="2"/>
  <c r="G285" i="2"/>
  <c r="A286" i="2"/>
  <c r="B286" i="2" l="1"/>
  <c r="C286" i="2"/>
  <c r="D286" i="2"/>
  <c r="E286" i="2"/>
  <c r="F286" i="2"/>
  <c r="G286" i="2"/>
  <c r="A287" i="2"/>
  <c r="B287" i="2" l="1"/>
  <c r="C287" i="2"/>
  <c r="D287" i="2"/>
  <c r="E287" i="2"/>
  <c r="F287" i="2"/>
  <c r="G287" i="2"/>
  <c r="A288" i="2"/>
  <c r="B288" i="2" l="1"/>
  <c r="C288" i="2"/>
  <c r="D288" i="2"/>
  <c r="E288" i="2"/>
  <c r="F288" i="2"/>
  <c r="G288" i="2"/>
  <c r="A289" i="2"/>
  <c r="B289" i="2" l="1"/>
  <c r="C289" i="2"/>
  <c r="D289" i="2"/>
  <c r="E289" i="2"/>
  <c r="F289" i="2"/>
  <c r="G289" i="2"/>
  <c r="A290" i="2"/>
  <c r="B290" i="2" l="1"/>
  <c r="C290" i="2"/>
  <c r="D290" i="2"/>
  <c r="E290" i="2"/>
  <c r="F290" i="2"/>
  <c r="G290" i="2"/>
  <c r="A291" i="2"/>
  <c r="B291" i="2" l="1"/>
  <c r="C291" i="2"/>
  <c r="D291" i="2"/>
  <c r="E291" i="2"/>
  <c r="F291" i="2"/>
  <c r="G291" i="2"/>
  <c r="A292" i="2"/>
  <c r="B292" i="2" l="1"/>
  <c r="C292" i="2"/>
  <c r="D292" i="2"/>
  <c r="E292" i="2"/>
  <c r="F292" i="2"/>
  <c r="G292" i="2"/>
  <c r="A293" i="2"/>
  <c r="B293" i="2" l="1"/>
  <c r="C293" i="2"/>
  <c r="D293" i="2"/>
  <c r="E293" i="2"/>
  <c r="F293" i="2"/>
  <c r="G293" i="2"/>
  <c r="A294" i="2"/>
  <c r="B294" i="2" l="1"/>
  <c r="C294" i="2"/>
  <c r="D294" i="2"/>
  <c r="E294" i="2"/>
  <c r="F294" i="2"/>
  <c r="G294" i="2"/>
  <c r="A295" i="2"/>
  <c r="B295" i="2" l="1"/>
  <c r="C295" i="2"/>
  <c r="D295" i="2"/>
  <c r="E295" i="2"/>
  <c r="F295" i="2"/>
  <c r="G295" i="2"/>
  <c r="A296" i="2"/>
  <c r="B296" i="2" l="1"/>
  <c r="C296" i="2"/>
  <c r="D296" i="2"/>
  <c r="E296" i="2"/>
  <c r="F296" i="2"/>
  <c r="G296" i="2"/>
  <c r="A297" i="2"/>
  <c r="B297" i="2" l="1"/>
  <c r="C297" i="2"/>
  <c r="D297" i="2"/>
  <c r="E297" i="2"/>
  <c r="F297" i="2"/>
  <c r="G297" i="2"/>
  <c r="A298" i="2"/>
  <c r="B298" i="2" l="1"/>
  <c r="C298" i="2"/>
  <c r="D298" i="2"/>
  <c r="E298" i="2"/>
  <c r="F298" i="2"/>
  <c r="G298" i="2"/>
  <c r="A299" i="2"/>
  <c r="B299" i="2" l="1"/>
  <c r="C299" i="2"/>
  <c r="D299" i="2"/>
  <c r="E299" i="2"/>
  <c r="F299" i="2"/>
  <c r="G299" i="2"/>
  <c r="A300" i="2"/>
  <c r="B300" i="2" l="1"/>
  <c r="C300" i="2"/>
  <c r="D300" i="2"/>
  <c r="E300" i="2"/>
  <c r="F300" i="2"/>
  <c r="G300" i="2"/>
  <c r="A301" i="2"/>
  <c r="B301" i="2" l="1"/>
  <c r="C301" i="2"/>
  <c r="D301" i="2"/>
  <c r="E301" i="2"/>
  <c r="F301" i="2"/>
  <c r="G301" i="2"/>
  <c r="A302" i="2"/>
  <c r="C302" i="2" l="1"/>
  <c r="E302" i="2"/>
  <c r="G302" i="2"/>
  <c r="B302" i="2"/>
  <c r="D302" i="2"/>
  <c r="A303" i="2"/>
  <c r="F302" i="2"/>
  <c r="C303" i="2" l="1"/>
  <c r="G303" i="2"/>
  <c r="B303" i="2"/>
  <c r="E303" i="2"/>
  <c r="A304" i="2"/>
  <c r="D303" i="2"/>
  <c r="F303" i="2"/>
  <c r="D304" i="2" l="1"/>
  <c r="G304" i="2"/>
  <c r="B304" i="2"/>
  <c r="E304" i="2"/>
  <c r="A305" i="2"/>
  <c r="C304" i="2"/>
  <c r="F304" i="2"/>
  <c r="D305" i="2" l="1"/>
  <c r="F305" i="2"/>
  <c r="A306" i="2"/>
  <c r="C305" i="2"/>
  <c r="B305" i="2"/>
  <c r="E305" i="2"/>
  <c r="G305" i="2"/>
  <c r="C306" i="2" l="1"/>
  <c r="D306" i="2"/>
  <c r="F306" i="2"/>
  <c r="G306" i="2"/>
  <c r="A307" i="2"/>
  <c r="B306" i="2"/>
  <c r="E306" i="2"/>
  <c r="B307" i="2" l="1"/>
  <c r="C307" i="2"/>
  <c r="D307" i="2"/>
  <c r="E307" i="2"/>
  <c r="F307" i="2"/>
  <c r="G307" i="2"/>
  <c r="A308" i="2"/>
  <c r="B308" i="2" l="1"/>
  <c r="C308" i="2"/>
  <c r="D308" i="2"/>
  <c r="E308" i="2"/>
  <c r="F308" i="2"/>
  <c r="G308" i="2"/>
  <c r="A309" i="2"/>
  <c r="B309" i="2" l="1"/>
  <c r="C309" i="2"/>
  <c r="D309" i="2"/>
  <c r="E309" i="2"/>
  <c r="F309" i="2"/>
  <c r="G309" i="2"/>
  <c r="A310" i="2"/>
  <c r="B310" i="2" l="1"/>
  <c r="C310" i="2"/>
  <c r="D310" i="2"/>
  <c r="E310" i="2"/>
  <c r="F310" i="2"/>
  <c r="G310" i="2"/>
  <c r="A311" i="2"/>
  <c r="B311" i="2" l="1"/>
  <c r="C311" i="2"/>
  <c r="D311" i="2"/>
  <c r="E311" i="2"/>
  <c r="F311" i="2"/>
  <c r="G311" i="2"/>
  <c r="A312" i="2"/>
  <c r="B312" i="2" l="1"/>
  <c r="C312" i="2"/>
  <c r="D312" i="2"/>
  <c r="E312" i="2"/>
  <c r="F312" i="2"/>
  <c r="G312" i="2"/>
  <c r="A313" i="2"/>
  <c r="B313" i="2" l="1"/>
  <c r="C313" i="2"/>
  <c r="D313" i="2"/>
  <c r="E313" i="2"/>
  <c r="F313" i="2"/>
  <c r="G313" i="2"/>
  <c r="A314" i="2"/>
  <c r="B314" i="2" l="1"/>
  <c r="C314" i="2"/>
  <c r="D314" i="2"/>
  <c r="E314" i="2"/>
  <c r="F314" i="2"/>
  <c r="G314" i="2"/>
  <c r="A315" i="2"/>
  <c r="B315" i="2" l="1"/>
  <c r="C315" i="2"/>
  <c r="D315" i="2"/>
  <c r="E315" i="2"/>
  <c r="F315" i="2"/>
  <c r="G315" i="2"/>
  <c r="A316" i="2"/>
  <c r="B316" i="2" l="1"/>
  <c r="C316" i="2"/>
  <c r="D316" i="2"/>
  <c r="E316" i="2"/>
  <c r="F316" i="2"/>
  <c r="G316" i="2"/>
  <c r="A317" i="2"/>
  <c r="B317" i="2" l="1"/>
  <c r="C317" i="2"/>
  <c r="D317" i="2"/>
  <c r="E317" i="2"/>
  <c r="F317" i="2"/>
  <c r="G317" i="2"/>
  <c r="A318" i="2"/>
  <c r="B318" i="2" l="1"/>
  <c r="C318" i="2"/>
  <c r="D318" i="2"/>
  <c r="E318" i="2"/>
  <c r="F318" i="2"/>
  <c r="G318" i="2"/>
  <c r="A319" i="2"/>
  <c r="B319" i="2" l="1"/>
  <c r="C319" i="2"/>
  <c r="D319" i="2"/>
  <c r="E319" i="2"/>
  <c r="F319" i="2"/>
  <c r="G319" i="2"/>
  <c r="A320" i="2"/>
  <c r="B320" i="2" l="1"/>
  <c r="C320" i="2"/>
  <c r="D320" i="2"/>
  <c r="E320" i="2"/>
  <c r="F320" i="2"/>
  <c r="G320" i="2"/>
  <c r="A321" i="2"/>
  <c r="B321" i="2" l="1"/>
  <c r="C321" i="2"/>
  <c r="D321" i="2"/>
  <c r="E321" i="2"/>
  <c r="F321" i="2"/>
  <c r="G321" i="2"/>
  <c r="A322" i="2"/>
  <c r="B322" i="2" l="1"/>
  <c r="C322" i="2"/>
  <c r="D322" i="2"/>
  <c r="E322" i="2"/>
  <c r="F322" i="2"/>
  <c r="G322" i="2"/>
  <c r="A323" i="2"/>
  <c r="B323" i="2" l="1"/>
  <c r="C323" i="2"/>
  <c r="D323" i="2"/>
  <c r="E323" i="2"/>
  <c r="F323" i="2"/>
  <c r="G323" i="2"/>
  <c r="A324" i="2"/>
  <c r="B324" i="2" l="1"/>
  <c r="C324" i="2"/>
  <c r="D324" i="2"/>
  <c r="E324" i="2"/>
  <c r="F324" i="2"/>
  <c r="G324" i="2"/>
  <c r="A325" i="2"/>
  <c r="B325" i="2" l="1"/>
  <c r="C325" i="2"/>
  <c r="D325" i="2"/>
  <c r="E325" i="2"/>
  <c r="F325" i="2"/>
  <c r="G325" i="2"/>
  <c r="A326" i="2"/>
  <c r="B326" i="2" l="1"/>
  <c r="C326" i="2"/>
  <c r="D326" i="2"/>
  <c r="E326" i="2"/>
  <c r="F326" i="2"/>
  <c r="G326" i="2"/>
  <c r="A327" i="2"/>
  <c r="B327" i="2" l="1"/>
  <c r="C327" i="2"/>
  <c r="D327" i="2"/>
  <c r="E327" i="2"/>
  <c r="F327" i="2"/>
  <c r="G327" i="2"/>
  <c r="A328" i="2"/>
  <c r="B328" i="2" l="1"/>
  <c r="C328" i="2"/>
  <c r="D328" i="2"/>
  <c r="E328" i="2"/>
  <c r="F328" i="2"/>
  <c r="G328" i="2"/>
  <c r="A329" i="2"/>
  <c r="B329" i="2" l="1"/>
  <c r="C329" i="2"/>
  <c r="D329" i="2"/>
  <c r="E329" i="2"/>
  <c r="F329" i="2"/>
  <c r="G329" i="2"/>
  <c r="A330" i="2"/>
  <c r="B330" i="2" l="1"/>
  <c r="C330" i="2"/>
  <c r="D330" i="2"/>
  <c r="E330" i="2"/>
  <c r="F330" i="2"/>
  <c r="G330" i="2"/>
  <c r="A331" i="2"/>
  <c r="B331" i="2" l="1"/>
  <c r="C331" i="2"/>
  <c r="D331" i="2"/>
  <c r="E331" i="2"/>
  <c r="F331" i="2"/>
  <c r="G331" i="2"/>
  <c r="A332" i="2"/>
  <c r="B332" i="2" l="1"/>
  <c r="C332" i="2"/>
  <c r="D332" i="2"/>
  <c r="E332" i="2"/>
  <c r="F332" i="2"/>
  <c r="G332" i="2"/>
  <c r="A333" i="2"/>
  <c r="B333" i="2" l="1"/>
  <c r="C333" i="2"/>
  <c r="D333" i="2"/>
  <c r="E333" i="2"/>
  <c r="F333" i="2"/>
  <c r="G333" i="2"/>
  <c r="A334" i="2"/>
  <c r="B334" i="2" l="1"/>
  <c r="C334" i="2"/>
  <c r="D334" i="2"/>
  <c r="E334" i="2"/>
  <c r="F334" i="2"/>
  <c r="G334" i="2"/>
  <c r="A335" i="2"/>
  <c r="B335" i="2" l="1"/>
  <c r="C335" i="2"/>
  <c r="D335" i="2"/>
  <c r="E335" i="2"/>
  <c r="F335" i="2"/>
  <c r="G335" i="2"/>
  <c r="A336" i="2"/>
  <c r="B336" i="2" l="1"/>
  <c r="C336" i="2"/>
  <c r="D336" i="2"/>
  <c r="E336" i="2"/>
  <c r="F336" i="2"/>
  <c r="G336" i="2"/>
  <c r="A337" i="2"/>
  <c r="B337" i="2" l="1"/>
  <c r="C337" i="2"/>
  <c r="D337" i="2"/>
  <c r="E337" i="2"/>
  <c r="F337" i="2"/>
  <c r="G337" i="2"/>
  <c r="A338" i="2"/>
  <c r="B338" i="2" l="1"/>
  <c r="C338" i="2"/>
  <c r="D338" i="2"/>
  <c r="E338" i="2"/>
  <c r="F338" i="2"/>
  <c r="G338" i="2"/>
  <c r="A339" i="2"/>
  <c r="B339" i="2" l="1"/>
  <c r="C339" i="2"/>
  <c r="D339" i="2"/>
  <c r="E339" i="2"/>
  <c r="F339" i="2"/>
  <c r="G339" i="2"/>
  <c r="A340" i="2"/>
  <c r="B340" i="2" l="1"/>
  <c r="C340" i="2"/>
  <c r="D340" i="2"/>
  <c r="E340" i="2"/>
  <c r="F340" i="2"/>
  <c r="G340" i="2"/>
  <c r="A341" i="2"/>
  <c r="B341" i="2" l="1"/>
  <c r="C341" i="2"/>
  <c r="D341" i="2"/>
  <c r="E341" i="2"/>
  <c r="F341" i="2"/>
  <c r="G341" i="2"/>
  <c r="A342" i="2"/>
  <c r="B342" i="2" l="1"/>
  <c r="C342" i="2"/>
  <c r="D342" i="2"/>
  <c r="E342" i="2"/>
  <c r="F342" i="2"/>
  <c r="G342" i="2"/>
  <c r="A343" i="2"/>
  <c r="B343" i="2" l="1"/>
  <c r="C343" i="2"/>
  <c r="D343" i="2"/>
  <c r="E343" i="2"/>
  <c r="F343" i="2"/>
  <c r="G343" i="2"/>
  <c r="A344" i="2"/>
  <c r="B344" i="2" l="1"/>
  <c r="C344" i="2"/>
  <c r="D344" i="2"/>
  <c r="E344" i="2"/>
  <c r="F344" i="2"/>
  <c r="G344" i="2"/>
  <c r="A345" i="2"/>
  <c r="B345" i="2" l="1"/>
  <c r="C345" i="2"/>
  <c r="D345" i="2"/>
  <c r="E345" i="2"/>
  <c r="F345" i="2"/>
  <c r="G345" i="2"/>
  <c r="A346" i="2"/>
  <c r="B346" i="2" l="1"/>
  <c r="C346" i="2"/>
  <c r="D346" i="2"/>
  <c r="E346" i="2"/>
  <c r="F346" i="2"/>
  <c r="G346" i="2"/>
  <c r="A347" i="2"/>
  <c r="B347" i="2" l="1"/>
  <c r="C347" i="2"/>
  <c r="D347" i="2"/>
  <c r="E347" i="2"/>
  <c r="F347" i="2"/>
  <c r="G347" i="2"/>
  <c r="A348" i="2"/>
  <c r="B348" i="2" l="1"/>
  <c r="C348" i="2"/>
  <c r="D348" i="2"/>
  <c r="E348" i="2"/>
  <c r="F348" i="2"/>
  <c r="G348" i="2"/>
  <c r="A349" i="2"/>
  <c r="B349" i="2" l="1"/>
  <c r="C349" i="2"/>
  <c r="D349" i="2"/>
  <c r="E349" i="2"/>
  <c r="F349" i="2"/>
  <c r="G349" i="2"/>
  <c r="A350" i="2"/>
  <c r="B350" i="2" l="1"/>
  <c r="C350" i="2"/>
  <c r="D350" i="2"/>
  <c r="E350" i="2"/>
  <c r="F350" i="2"/>
  <c r="G350" i="2"/>
  <c r="A351" i="2"/>
  <c r="B351" i="2" l="1"/>
  <c r="C351" i="2"/>
  <c r="D351" i="2"/>
  <c r="E351" i="2"/>
  <c r="F351" i="2"/>
  <c r="G351" i="2"/>
  <c r="A352" i="2"/>
  <c r="B352" i="2" l="1"/>
  <c r="C352" i="2"/>
  <c r="D352" i="2"/>
  <c r="E352" i="2"/>
  <c r="F352" i="2"/>
  <c r="G352" i="2"/>
  <c r="A353" i="2"/>
  <c r="B353" i="2" l="1"/>
  <c r="C353" i="2"/>
  <c r="D353" i="2"/>
  <c r="E353" i="2"/>
  <c r="F353" i="2"/>
  <c r="G353" i="2"/>
  <c r="A354" i="2"/>
  <c r="B354" i="2" l="1"/>
  <c r="C354" i="2"/>
  <c r="D354" i="2"/>
  <c r="E354" i="2"/>
  <c r="F354" i="2"/>
  <c r="G354" i="2"/>
  <c r="A355" i="2"/>
  <c r="B355" i="2" l="1"/>
  <c r="C355" i="2"/>
  <c r="D355" i="2"/>
  <c r="E355" i="2"/>
  <c r="F355" i="2"/>
  <c r="G355" i="2"/>
  <c r="A356" i="2"/>
  <c r="B356" i="2" l="1"/>
  <c r="C356" i="2"/>
  <c r="D356" i="2"/>
  <c r="E356" i="2"/>
  <c r="F356" i="2"/>
  <c r="G356" i="2"/>
  <c r="A357" i="2"/>
  <c r="B357" i="2" l="1"/>
  <c r="C357" i="2"/>
  <c r="D357" i="2"/>
  <c r="E357" i="2"/>
  <c r="F357" i="2"/>
  <c r="G357" i="2"/>
  <c r="A358" i="2"/>
  <c r="B358" i="2" l="1"/>
  <c r="C358" i="2"/>
  <c r="D358" i="2"/>
  <c r="E358" i="2"/>
  <c r="F358" i="2"/>
  <c r="G358" i="2"/>
  <c r="A359" i="2"/>
  <c r="B359" i="2" l="1"/>
  <c r="C359" i="2"/>
  <c r="D359" i="2"/>
  <c r="E359" i="2"/>
  <c r="F359" i="2"/>
  <c r="G359" i="2"/>
  <c r="A360" i="2"/>
  <c r="B360" i="2" l="1"/>
  <c r="C360" i="2"/>
  <c r="D360" i="2"/>
  <c r="E360" i="2"/>
  <c r="F360" i="2"/>
  <c r="G360" i="2"/>
  <c r="A361" i="2"/>
  <c r="B361" i="2" l="1"/>
  <c r="C361" i="2"/>
  <c r="D361" i="2"/>
  <c r="E361" i="2"/>
  <c r="F361" i="2"/>
  <c r="G361" i="2"/>
  <c r="A362" i="2"/>
  <c r="B362" i="2" l="1"/>
  <c r="C362" i="2"/>
  <c r="D362" i="2"/>
  <c r="E362" i="2"/>
  <c r="F362" i="2"/>
  <c r="G362" i="2"/>
</calcChain>
</file>

<file path=xl/sharedStrings.xml><?xml version="1.0" encoding="utf-8"?>
<sst xmlns="http://schemas.openxmlformats.org/spreadsheetml/2006/main" count="79" uniqueCount="44">
  <si>
    <t>Total investido</t>
  </si>
  <si>
    <t>Patrimônio acumulado</t>
  </si>
  <si>
    <t>Mês</t>
  </si>
  <si>
    <t>Data</t>
  </si>
  <si>
    <t>Aporte</t>
  </si>
  <si>
    <t>Saldo inicial</t>
  </si>
  <si>
    <t>Patrimônio final</t>
  </si>
  <si>
    <t>Planejador de Investimentos em Fundos Imobiliários</t>
  </si>
  <si>
    <t>Simule aportes mensais, renda potencial e uma distribuição educacional por perfil de risco. Edite somente as células azuis.</t>
  </si>
  <si>
    <t>CONFIGURAÇÕES</t>
  </si>
  <si>
    <t>Salário mensal</t>
  </si>
  <si>
    <t>Rendimento mensal da carteira</t>
  </si>
  <si>
    <t>Sugestão de investimento (30%)</t>
  </si>
  <si>
    <t>INVESTIMENTO MENSAL</t>
  </si>
  <si>
    <t>Quanto investir por mês?</t>
  </si>
  <si>
    <t>Por quantos anos?</t>
  </si>
  <si>
    <t>Taxa de rendimento mensal?</t>
  </si>
  <si>
    <t>Dividendos mensais estimados</t>
  </si>
  <si>
    <t>Ganho estimado</t>
  </si>
  <si>
    <t>PRAZO (ANOS)</t>
  </si>
  <si>
    <t>PATRIMÔNIO</t>
  </si>
  <si>
    <t>DIVIDENDOS / MÊS</t>
  </si>
  <si>
    <t>ALOCAÇÃO SUGERIDA POR PERFIL</t>
  </si>
  <si>
    <t>Perfil</t>
  </si>
  <si>
    <t>Moderado</t>
  </si>
  <si>
    <t>Valor a investir por mês</t>
  </si>
  <si>
    <t>TIPO DE FII</t>
  </si>
  <si>
    <t>PERCENTUAL</t>
  </si>
  <si>
    <t>VALOR MENSAL</t>
  </si>
  <si>
    <t>PAPEL</t>
  </si>
  <si>
    <t>TIJOLO</t>
  </si>
  <si>
    <t>HÍBRIDOS</t>
  </si>
  <si>
    <t>FOFs</t>
  </si>
  <si>
    <t>DESENVOLVIMENTO</t>
  </si>
  <si>
    <t>HOTELARIAS</t>
  </si>
  <si>
    <t>TOTAL</t>
  </si>
  <si>
    <t>Nota: simulação educacional com taxas constantes. Não representa recomendação nem garantia de rentabilidade; avalie riscos, preços e fundamentos antes de investir.</t>
  </si>
  <si>
    <t>CHAVE</t>
  </si>
  <si>
    <t>PERFIL</t>
  </si>
  <si>
    <t>%</t>
  </si>
  <si>
    <t>Conservador</t>
  </si>
  <si>
    <t>Agressivo</t>
  </si>
  <si>
    <t>Rendimento</t>
  </si>
  <si>
    <t>Dividendos estimados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</si>
</sst>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m\ yyyy"/>
    <numFmt numFmtId="167" formatCode="[$R$-416]\ #,##0.00"/>
  </numFmts>
  <fonts count="10" x14ac:knownFonts="1">
    <font>
      <sz val="11"/>
      <color theme="1"/>
      <name val="Aptos Narrow"/>
      <family val="2"/>
      <scheme val="minor"/>
    </font>
    <font>
      <b/>
      <sz val="20"/>
      <color rgb="FFFFFFFF"/>
      <name val="Aptos"/>
      <family val="2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10"/>
      <color rgb="FF44546A"/>
      <name val="Aptos"/>
      <family val="2"/>
    </font>
    <font>
      <b/>
      <sz val="10"/>
      <color rgb="FFFFFFFF"/>
      <name val="Aptos"/>
      <family val="2"/>
    </font>
    <font>
      <b/>
      <sz val="10"/>
      <color rgb="FF1F4E78"/>
      <name val="Aptos"/>
      <family val="2"/>
    </font>
    <font>
      <b/>
      <sz val="10"/>
      <color rgb="FF375623"/>
      <name val="Aptos"/>
      <family val="2"/>
    </font>
    <font>
      <b/>
      <sz val="10"/>
      <color theme="1"/>
      <name val="Aptos"/>
      <family val="2"/>
    </font>
    <font>
      <i/>
      <sz val="10"/>
      <color rgb="FF666666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  <xf numFmtId="167" fontId="2" fillId="0" borderId="0" xfId="0" applyNumberFormat="1" applyFont="1"/>
    <xf numFmtId="0" fontId="3" fillId="9" borderId="0" xfId="0" applyFont="1" applyFill="1"/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/>
    <xf numFmtId="0" fontId="3" fillId="8" borderId="0" xfId="0" applyFont="1" applyFill="1"/>
    <xf numFmtId="0" fontId="9" fillId="8" borderId="0" xfId="0" applyFont="1" applyFill="1" applyAlignment="1">
      <alignment wrapText="1"/>
    </xf>
    <xf numFmtId="0" fontId="5" fillId="4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167" fontId="6" fillId="5" borderId="0" xfId="0" applyNumberFormat="1" applyFont="1" applyFill="1" applyAlignment="1">
      <alignment vertical="center"/>
    </xf>
    <xf numFmtId="10" fontId="6" fillId="5" borderId="0" xfId="0" applyNumberFormat="1" applyFont="1" applyFill="1" applyAlignment="1">
      <alignment vertical="center"/>
    </xf>
    <xf numFmtId="167" fontId="3" fillId="7" borderId="0" xfId="0" applyNumberFormat="1" applyFont="1" applyFill="1" applyAlignment="1">
      <alignment vertical="center"/>
    </xf>
    <xf numFmtId="1" fontId="6" fillId="5" borderId="0" xfId="0" applyNumberFormat="1" applyFont="1" applyFill="1" applyAlignment="1">
      <alignment vertical="center"/>
    </xf>
    <xf numFmtId="167" fontId="7" fillId="6" borderId="0" xfId="0" applyNumberFormat="1" applyFont="1" applyFill="1" applyAlignment="1">
      <alignment vertical="center"/>
    </xf>
    <xf numFmtId="167" fontId="3" fillId="9" borderId="0" xfId="0" applyNumberFormat="1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5" fillId="10" borderId="3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167" fontId="3" fillId="9" borderId="2" xfId="0" applyNumberFormat="1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167" fontId="3" fillId="9" borderId="1" xfId="0" applyNumberFormat="1" applyFont="1" applyFill="1" applyBorder="1" applyAlignment="1">
      <alignment vertical="center"/>
    </xf>
    <xf numFmtId="9" fontId="3" fillId="9" borderId="2" xfId="0" applyNumberFormat="1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167" fontId="8" fillId="6" borderId="1" xfId="0" applyNumberFormat="1" applyFont="1" applyFill="1" applyBorder="1" applyAlignment="1">
      <alignment vertical="center"/>
    </xf>
    <xf numFmtId="9" fontId="2" fillId="0" borderId="0" xfId="0" applyNumberFormat="1" applyFont="1"/>
  </cellXfs>
  <cellStyles count="1">
    <cellStyle name="Normal" xfId="0" builtinId="0"/>
  </cellStyles>
  <dxfs count="15"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  <numFmt numFmtId="165" formatCode="mmm\ yyyy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  <numFmt numFmtId="13" formatCode="0%"/>
    </dxf>
    <dxf>
      <font>
        <name val="Aptos"/>
      </font>
    </dxf>
    <dxf>
      <font>
        <name val="Aptos"/>
      </font>
    </dxf>
    <dxf>
      <font>
        <name val="Aptos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Patrimônio projetado por prazo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Patrimônio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R$-416]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APP!$B$19:$B$23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APP!$C$19:$C$23</c:f>
              <c:numCache>
                <c:formatCode>[$R$-416]\ #,##0.00</c:formatCode>
                <c:ptCount val="5"/>
                <c:pt idx="0">
                  <c:v>5445.5254595290435</c:v>
                </c:pt>
                <c:pt idx="1">
                  <c:v>16755.382799697527</c:v>
                </c:pt>
                <c:pt idx="2">
                  <c:v>48656.842506034438</c:v>
                </c:pt>
                <c:pt idx="3">
                  <c:v>225039.68001941612</c:v>
                </c:pt>
                <c:pt idx="4">
                  <c:v>864433.93100094295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1-4FC9-AB75-9D3398729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6392672"/>
        <c:axId val="1012150320"/>
      </c:barChart>
      <c:catAx>
        <c:axId val="1246392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2150320"/>
        <c:crosses val="autoZero"/>
        <c:auto val="1"/>
        <c:lblAlgn val="ctr"/>
        <c:lblOffset val="100"/>
        <c:noMultiLvlLbl val="0"/>
      </c:catAx>
      <c:valAx>
        <c:axId val="10121503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Patrimônio acumulado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[$R$-416]\ #.##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6392672"/>
        <c:crosses val="autoZero"/>
        <c:crossBetween val="between"/>
      </c:valAx>
      <c:spPr>
        <a:solidFill>
          <a:srgbClr val="F8FAFC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do aporte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Valor mensal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R$-416]\ #.##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APP!$B$30:$B$35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APP!$D$30:$D$35</c:f>
              <c:numCache>
                <c:formatCode>[$R$-416]\ #,##0.00</c:formatCode>
                <c:ptCount val="6"/>
                <c:pt idx="0">
                  <c:v>64</c:v>
                </c:pt>
                <c:pt idx="1">
                  <c:v>70</c:v>
                </c:pt>
                <c:pt idx="2">
                  <c:v>16</c:v>
                </c:pt>
                <c:pt idx="3">
                  <c:v>10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5-4308-B59B-948D85966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6407984"/>
        <c:axId val="1012151760"/>
      </c:barChart>
      <c:catAx>
        <c:axId val="1246407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2151760"/>
        <c:crosses val="autoZero"/>
        <c:auto val="1"/>
        <c:lblAlgn val="ctr"/>
        <c:lblOffset val="100"/>
        <c:noMultiLvlLbl val="0"/>
      </c:catAx>
      <c:valAx>
        <c:axId val="101215176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.##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6407984"/>
        <c:crosses val="autoZero"/>
        <c:crossBetween val="between"/>
      </c:valAx>
      <c:spPr>
        <a:solidFill>
          <a:srgbClr val="F8FAFC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4" name="Patrimônio por Prazo">
          <a:extLst>
            <a:ext uri="{FF2B5EF4-FFF2-40B4-BE49-F238E27FC236}">
              <a16:creationId xmlns:a16="http://schemas.microsoft.com/office/drawing/2014/main" id="{13EFC275-5DFE-4D5F-56FC-6E1623CFF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5" name="Alocação Mensal por Tipo">
          <a:extLst>
            <a:ext uri="{FF2B5EF4-FFF2-40B4-BE49-F238E27FC236}">
              <a16:creationId xmlns:a16="http://schemas.microsoft.com/office/drawing/2014/main" id="{0845B2BF-7EC3-3A76-AA17-8A6E55A8D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96C0B0-267A-4E70-951D-8D8EC27F10F5}" name="tblProjecaoFII" displayName="tblProjecaoFII" ref="A1:G362" totalsRowShown="0" headerRowDxfId="1" dataDxfId="0">
  <autoFilter ref="A1:G362" xr:uid="{D196C0B0-267A-4E70-951D-8D8EC27F10F5}"/>
  <tableColumns count="7">
    <tableColumn id="1" xr3:uid="{4D1B766D-43C2-465B-BCFF-F2BCC8F6EC50}" name="Mês" dataDxfId="8">
      <calculatedColumnFormula>A1+1</calculatedColumnFormula>
    </tableColumn>
    <tableColumn id="2" xr3:uid="{00FE0CDB-D785-4558-BF82-D69E00425EE9}" name="Data" dataDxfId="7">
      <calculatedColumnFormula>IF(A2&lt;=APP!$D$11*12,EDATE(B1,1),"")</calculatedColumnFormula>
    </tableColumn>
    <tableColumn id="3" xr3:uid="{C9DEFA4E-7040-4B3C-87D1-AECEAA7B2D42}" name="Aporte" dataDxfId="6">
      <calculatedColumnFormula>IF(A2&lt;=APP!$D$11*12,APP!$D$10,"")</calculatedColumnFormula>
    </tableColumn>
    <tableColumn id="4" xr3:uid="{173E4062-33A0-403B-9D76-779E1096C893}" name="Saldo inicial" dataDxfId="5">
      <calculatedColumnFormula>IF(A2&lt;=APP!$D$11*12,F1,"")</calculatedColumnFormula>
    </tableColumn>
    <tableColumn id="5" xr3:uid="{1D7F6473-1F7F-4352-9FBB-5A77E7D536F6}" name="Rendimento" dataDxfId="4">
      <calculatedColumnFormula>IF(A2&lt;=APP!$D$11*12,D2*APP!$D$12,"")</calculatedColumnFormula>
    </tableColumn>
    <tableColumn id="6" xr3:uid="{7AE7FF6D-EF34-4F0D-82D7-9208BDDDE2CE}" name="Patrimônio final" dataDxfId="3">
      <calculatedColumnFormula>IF(A2&lt;=APP!$D$11*12,D2+E2+C2,"")</calculatedColumnFormula>
    </tableColumn>
    <tableColumn id="7" xr3:uid="{529BCECC-620F-4AD3-904A-C4A96A51C441}" name="Dividendos estimados" dataDxfId="2">
      <calculatedColumnFormula>IF(A2&lt;=APP!$D$11*12,F2*APP!$D$6,"")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4660A2-B61F-4765-9562-688410784D10}" name="tblPerfisFII" displayName="tblPerfisFII" ref="A1:D19" totalsRowShown="0" headerRowDxfId="10" dataDxfId="9">
  <autoFilter ref="A1:D19" xr:uid="{C24660A2-B61F-4765-9562-688410784D10}"/>
  <tableColumns count="4">
    <tableColumn id="1" xr3:uid="{EC1EBDA7-4A6E-4B52-8A71-246CB0F1297D}" name="CHAVE" dataDxfId="14">
      <calculatedColumnFormula>B2&amp;"-"&amp;C2</calculatedColumnFormula>
    </tableColumn>
    <tableColumn id="2" xr3:uid="{D066ED06-7FFC-41DA-BAAE-2D894E5C268F}" name="PERFIL" dataDxfId="13"/>
    <tableColumn id="3" xr3:uid="{B5F7153C-FBBB-47CD-A442-ABF2B86E0727}" name="TIPO DE FII" dataDxfId="12"/>
    <tableColumn id="4" xr3:uid="{D150A8DC-6B19-4287-B838-43A138A650B1}" name="%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28DE-2763-4722-820B-18DF7AD69152}">
  <dimension ref="A1:J38"/>
  <sheetViews>
    <sheetView tabSelected="1" topLeftCell="B1" workbookViewId="0">
      <selection activeCell="K20" sqref="K20"/>
    </sheetView>
  </sheetViews>
  <sheetFormatPr defaultRowHeight="14.4" x14ac:dyDescent="0.3"/>
  <cols>
    <col min="1" max="1" width="3.6640625" customWidth="1"/>
    <col min="2" max="2" width="35.21875" customWidth="1"/>
    <col min="3" max="3" width="20.33203125" customWidth="1"/>
    <col min="4" max="4" width="23.109375" customWidth="1"/>
    <col min="5" max="5" width="3.33203125" customWidth="1"/>
    <col min="6" max="10" width="15.21875" customWidth="1"/>
  </cols>
  <sheetData>
    <row r="1" spans="1:10" ht="34.049999999999997" customHeight="1" x14ac:dyDescent="0.5">
      <c r="A1" s="1" t="s">
        <v>7</v>
      </c>
      <c r="B1" s="6"/>
      <c r="C1" s="6"/>
      <c r="D1" s="6"/>
      <c r="E1" s="6"/>
      <c r="F1" s="6"/>
      <c r="G1" s="6"/>
      <c r="H1" s="6"/>
      <c r="I1" s="6"/>
      <c r="J1" s="6"/>
    </row>
    <row r="2" spans="1:10" ht="28.05" customHeight="1" x14ac:dyDescent="0.3">
      <c r="A2" s="8" t="s">
        <v>8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3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x14ac:dyDescent="0.3">
      <c r="A4" s="5"/>
      <c r="B4" s="11" t="s">
        <v>9</v>
      </c>
      <c r="C4" s="11"/>
      <c r="D4" s="11"/>
      <c r="E4" s="5"/>
      <c r="F4" s="5"/>
      <c r="G4" s="5"/>
      <c r="H4" s="5"/>
      <c r="I4" s="5"/>
      <c r="J4" s="5"/>
    </row>
    <row r="5" spans="1:10" x14ac:dyDescent="0.3">
      <c r="A5" s="5"/>
      <c r="B5" s="12" t="s">
        <v>10</v>
      </c>
      <c r="C5" s="12"/>
      <c r="D5" s="13">
        <v>2000</v>
      </c>
      <c r="E5" s="5"/>
      <c r="F5" s="5"/>
      <c r="G5" s="5"/>
      <c r="H5" s="5"/>
      <c r="I5" s="5"/>
      <c r="J5" s="5"/>
    </row>
    <row r="6" spans="1:10" x14ac:dyDescent="0.3">
      <c r="A6" s="5"/>
      <c r="B6" s="12" t="s">
        <v>11</v>
      </c>
      <c r="C6" s="12"/>
      <c r="D6" s="14">
        <v>6.0000000000000001E-3</v>
      </c>
      <c r="E6" s="5"/>
      <c r="F6" s="5"/>
      <c r="G6" s="5"/>
      <c r="H6" s="5"/>
      <c r="I6" s="5"/>
      <c r="J6" s="5"/>
    </row>
    <row r="7" spans="1:10" x14ac:dyDescent="0.3">
      <c r="A7" s="5"/>
      <c r="B7" s="12" t="s">
        <v>12</v>
      </c>
      <c r="C7" s="12"/>
      <c r="D7" s="15">
        <f>D5*30%</f>
        <v>600</v>
      </c>
      <c r="E7" s="5"/>
      <c r="F7" s="5"/>
      <c r="G7" s="5"/>
      <c r="H7" s="5"/>
      <c r="I7" s="5"/>
      <c r="J7" s="5"/>
    </row>
    <row r="8" spans="1:10" x14ac:dyDescent="0.3">
      <c r="A8" s="5"/>
      <c r="B8" s="12"/>
      <c r="C8" s="12"/>
      <c r="D8" s="12"/>
      <c r="E8" s="5"/>
      <c r="F8" s="5"/>
      <c r="G8" s="5"/>
      <c r="H8" s="5"/>
      <c r="I8" s="5"/>
      <c r="J8" s="5"/>
    </row>
    <row r="9" spans="1:10" x14ac:dyDescent="0.3">
      <c r="A9" s="5"/>
      <c r="B9" s="11" t="s">
        <v>13</v>
      </c>
      <c r="C9" s="11"/>
      <c r="D9" s="11"/>
      <c r="E9" s="5"/>
      <c r="F9" s="5"/>
      <c r="G9" s="5"/>
      <c r="H9" s="5"/>
      <c r="I9" s="5"/>
      <c r="J9" s="5"/>
    </row>
    <row r="10" spans="1:10" x14ac:dyDescent="0.3">
      <c r="A10" s="5"/>
      <c r="B10" s="12" t="s">
        <v>14</v>
      </c>
      <c r="C10" s="12"/>
      <c r="D10" s="13">
        <v>200</v>
      </c>
      <c r="E10" s="5"/>
      <c r="F10" s="5"/>
      <c r="G10" s="5"/>
      <c r="H10" s="5"/>
      <c r="I10" s="5"/>
      <c r="J10" s="5"/>
    </row>
    <row r="11" spans="1:10" x14ac:dyDescent="0.3">
      <c r="A11" s="5"/>
      <c r="B11" s="12" t="s">
        <v>15</v>
      </c>
      <c r="C11" s="12"/>
      <c r="D11" s="16">
        <v>5</v>
      </c>
      <c r="E11" s="5"/>
      <c r="F11" s="5"/>
      <c r="G11" s="5"/>
      <c r="H11" s="5"/>
      <c r="I11" s="5"/>
      <c r="J11" s="5"/>
    </row>
    <row r="12" spans="1:10" x14ac:dyDescent="0.3">
      <c r="A12" s="5"/>
      <c r="B12" s="12" t="s">
        <v>16</v>
      </c>
      <c r="C12" s="12"/>
      <c r="D12" s="14">
        <v>1.0789999999999999E-2</v>
      </c>
      <c r="E12" s="5"/>
      <c r="F12" s="5"/>
      <c r="G12" s="5"/>
      <c r="H12" s="5"/>
      <c r="I12" s="5"/>
      <c r="J12" s="5"/>
    </row>
    <row r="13" spans="1:10" ht="48" customHeight="1" x14ac:dyDescent="0.3">
      <c r="A13" s="5"/>
      <c r="B13" s="12" t="s">
        <v>1</v>
      </c>
      <c r="C13" s="12"/>
      <c r="D13" s="17">
        <f>FV(D12,D11*12,-D10)</f>
        <v>16755.382799697527</v>
      </c>
      <c r="E13" s="5"/>
      <c r="F13" s="5"/>
      <c r="G13" s="5"/>
      <c r="H13" s="5"/>
      <c r="I13" s="5"/>
      <c r="J13" s="5"/>
    </row>
    <row r="14" spans="1:10" x14ac:dyDescent="0.3">
      <c r="A14" s="5"/>
      <c r="B14" s="12" t="s">
        <v>17</v>
      </c>
      <c r="C14" s="12"/>
      <c r="D14" s="17">
        <f>D13*D6</f>
        <v>100.53229679818516</v>
      </c>
      <c r="E14" s="5"/>
      <c r="F14" s="5"/>
      <c r="G14" s="5"/>
      <c r="H14" s="5"/>
      <c r="I14" s="5"/>
      <c r="J14" s="5"/>
    </row>
    <row r="15" spans="1:10" x14ac:dyDescent="0.3">
      <c r="A15" s="5"/>
      <c r="B15" s="12" t="s">
        <v>0</v>
      </c>
      <c r="C15" s="12"/>
      <c r="D15" s="17">
        <f>D10*D11*12</f>
        <v>12000</v>
      </c>
      <c r="E15" s="5"/>
      <c r="F15" s="5"/>
      <c r="G15" s="5"/>
      <c r="H15" s="5"/>
      <c r="I15" s="5"/>
      <c r="J15" s="5"/>
    </row>
    <row r="16" spans="1:10" x14ac:dyDescent="0.3">
      <c r="A16" s="5"/>
      <c r="B16" s="12" t="s">
        <v>18</v>
      </c>
      <c r="C16" s="12"/>
      <c r="D16" s="17">
        <f>D13-D15</f>
        <v>4755.3827996975269</v>
      </c>
      <c r="E16" s="5"/>
      <c r="F16" s="5"/>
      <c r="G16" s="5"/>
      <c r="H16" s="5"/>
      <c r="I16" s="5"/>
      <c r="J16" s="5"/>
    </row>
    <row r="17" spans="1:10" x14ac:dyDescent="0.3">
      <c r="A17" s="5"/>
      <c r="B17" s="12"/>
      <c r="C17" s="12"/>
      <c r="D17" s="12"/>
      <c r="E17" s="5"/>
      <c r="F17" s="5"/>
      <c r="G17" s="5"/>
      <c r="H17" s="5"/>
      <c r="I17" s="5"/>
      <c r="J17" s="5"/>
    </row>
    <row r="18" spans="1:10" x14ac:dyDescent="0.3">
      <c r="A18" s="5"/>
      <c r="B18" s="20" t="s">
        <v>19</v>
      </c>
      <c r="C18" s="20" t="s">
        <v>20</v>
      </c>
      <c r="D18" s="20" t="s">
        <v>21</v>
      </c>
      <c r="E18" s="5"/>
      <c r="F18" s="5"/>
      <c r="G18" s="5"/>
      <c r="H18" s="5"/>
      <c r="I18" s="5"/>
      <c r="J18" s="5"/>
    </row>
    <row r="19" spans="1:10" x14ac:dyDescent="0.3">
      <c r="A19" s="5"/>
      <c r="B19" s="21">
        <v>2</v>
      </c>
      <c r="C19" s="22">
        <f>FV($D$12,B19*12,-$D$10)</f>
        <v>5445.5254595290435</v>
      </c>
      <c r="D19" s="22">
        <f>C19*$D$6</f>
        <v>32.673152757174265</v>
      </c>
      <c r="E19" s="5"/>
      <c r="F19" s="5"/>
      <c r="G19" s="5"/>
      <c r="H19" s="5"/>
      <c r="I19" s="5"/>
      <c r="J19" s="5"/>
    </row>
    <row r="20" spans="1:10" x14ac:dyDescent="0.3">
      <c r="A20" s="5"/>
      <c r="B20" s="21">
        <v>5</v>
      </c>
      <c r="C20" s="22">
        <f t="shared" ref="C20:C23" si="0">FV($D$12,B20*12,-$D$10)</f>
        <v>16755.382799697527</v>
      </c>
      <c r="D20" s="22">
        <f t="shared" ref="D20:D23" si="1">C20*$D$6</f>
        <v>100.53229679818516</v>
      </c>
      <c r="E20" s="5"/>
      <c r="F20" s="5"/>
      <c r="G20" s="5"/>
      <c r="H20" s="5"/>
      <c r="I20" s="5"/>
      <c r="J20" s="5"/>
    </row>
    <row r="21" spans="1:10" x14ac:dyDescent="0.3">
      <c r="A21" s="5"/>
      <c r="B21" s="21">
        <v>10</v>
      </c>
      <c r="C21" s="22">
        <f t="shared" si="0"/>
        <v>48656.842506034438</v>
      </c>
      <c r="D21" s="22">
        <f t="shared" si="1"/>
        <v>291.94105503620665</v>
      </c>
      <c r="E21" s="5"/>
      <c r="F21" s="5"/>
      <c r="G21" s="5"/>
      <c r="H21" s="5"/>
      <c r="I21" s="5"/>
      <c r="J21" s="5"/>
    </row>
    <row r="22" spans="1:10" x14ac:dyDescent="0.3">
      <c r="A22" s="5"/>
      <c r="B22" s="21">
        <v>20</v>
      </c>
      <c r="C22" s="22">
        <f t="shared" si="0"/>
        <v>225039.68001941612</v>
      </c>
      <c r="D22" s="22">
        <f t="shared" si="1"/>
        <v>1350.2380801164968</v>
      </c>
      <c r="E22" s="5"/>
      <c r="F22" s="5"/>
      <c r="G22" s="5"/>
      <c r="H22" s="5"/>
      <c r="I22" s="5"/>
      <c r="J22" s="5"/>
    </row>
    <row r="23" spans="1:10" x14ac:dyDescent="0.3">
      <c r="A23" s="5"/>
      <c r="B23" s="23">
        <v>30</v>
      </c>
      <c r="C23" s="24">
        <f t="shared" si="0"/>
        <v>864433.93100094295</v>
      </c>
      <c r="D23" s="24">
        <f t="shared" si="1"/>
        <v>5186.6035860056581</v>
      </c>
      <c r="E23" s="5"/>
      <c r="F23" s="5"/>
      <c r="G23" s="5"/>
      <c r="H23" s="5"/>
      <c r="I23" s="5"/>
      <c r="J23" s="5"/>
    </row>
    <row r="24" spans="1:10" x14ac:dyDescent="0.3">
      <c r="A24" s="5"/>
      <c r="B24" s="12"/>
      <c r="C24" s="12"/>
      <c r="D24" s="12"/>
      <c r="E24" s="5"/>
      <c r="F24" s="5"/>
      <c r="G24" s="5"/>
      <c r="H24" s="5"/>
      <c r="I24" s="5"/>
      <c r="J24" s="5"/>
    </row>
    <row r="25" spans="1:10" x14ac:dyDescent="0.3">
      <c r="A25" s="5"/>
      <c r="B25" s="11" t="s">
        <v>22</v>
      </c>
      <c r="C25" s="11"/>
      <c r="D25" s="11"/>
      <c r="E25" s="5"/>
      <c r="F25" s="5"/>
      <c r="G25" s="5"/>
      <c r="H25" s="5"/>
      <c r="I25" s="5"/>
      <c r="J25" s="5"/>
    </row>
    <row r="26" spans="1:10" x14ac:dyDescent="0.3">
      <c r="A26" s="5"/>
      <c r="B26" s="12" t="s">
        <v>23</v>
      </c>
      <c r="C26" s="19" t="s">
        <v>24</v>
      </c>
      <c r="D26" s="12"/>
      <c r="E26" s="5"/>
      <c r="F26" s="5"/>
      <c r="G26" s="5"/>
      <c r="H26" s="5"/>
      <c r="I26" s="5"/>
      <c r="J26" s="5"/>
    </row>
    <row r="27" spans="1:10" x14ac:dyDescent="0.3">
      <c r="A27" s="5"/>
      <c r="B27" s="12" t="s">
        <v>25</v>
      </c>
      <c r="C27" s="18">
        <f>D10</f>
        <v>200</v>
      </c>
      <c r="D27" s="12"/>
      <c r="E27" s="5"/>
      <c r="F27" s="5"/>
      <c r="G27" s="5"/>
      <c r="H27" s="5"/>
      <c r="I27" s="5"/>
      <c r="J27" s="5"/>
    </row>
    <row r="28" spans="1:10" x14ac:dyDescent="0.3">
      <c r="A28" s="5"/>
      <c r="B28" s="12"/>
      <c r="C28" s="12"/>
      <c r="D28" s="12"/>
      <c r="E28" s="5"/>
      <c r="F28" s="5"/>
      <c r="G28" s="5"/>
      <c r="H28" s="5"/>
      <c r="I28" s="5"/>
      <c r="J28" s="5"/>
    </row>
    <row r="29" spans="1:10" x14ac:dyDescent="0.3">
      <c r="A29" s="5"/>
      <c r="B29" s="20" t="s">
        <v>26</v>
      </c>
      <c r="C29" s="20" t="s">
        <v>27</v>
      </c>
      <c r="D29" s="20" t="s">
        <v>28</v>
      </c>
      <c r="E29" s="5"/>
      <c r="F29" s="5"/>
      <c r="G29" s="5"/>
      <c r="H29" s="5"/>
      <c r="I29" s="5"/>
      <c r="J29" s="5"/>
    </row>
    <row r="30" spans="1:10" x14ac:dyDescent="0.3">
      <c r="A30" s="5"/>
      <c r="B30" s="21" t="s">
        <v>29</v>
      </c>
      <c r="C30" s="25">
        <f>SUMIFS(Perfis!$D$2:$D$19,Perfis!$B$2:$B$19,$C$26,Perfis!$C$2:$C$19,$B30)</f>
        <v>0.32</v>
      </c>
      <c r="D30" s="22">
        <f>C30*$C$27</f>
        <v>64</v>
      </c>
      <c r="E30" s="5"/>
      <c r="F30" s="5"/>
      <c r="G30" s="5"/>
      <c r="H30" s="5"/>
      <c r="I30" s="5"/>
      <c r="J30" s="5"/>
    </row>
    <row r="31" spans="1:10" x14ac:dyDescent="0.3">
      <c r="A31" s="5"/>
      <c r="B31" s="21" t="s">
        <v>30</v>
      </c>
      <c r="C31" s="25">
        <f>SUMIFS(Perfis!$D$2:$D$19,Perfis!$B$2:$B$19,$C$26,Perfis!$C$2:$C$19,$B31)</f>
        <v>0.35</v>
      </c>
      <c r="D31" s="22">
        <f t="shared" ref="D31:D35" si="2">C31*$C$27</f>
        <v>70</v>
      </c>
      <c r="E31" s="5"/>
      <c r="F31" s="5"/>
      <c r="G31" s="5"/>
      <c r="H31" s="5"/>
      <c r="I31" s="5"/>
      <c r="J31" s="5"/>
    </row>
    <row r="32" spans="1:10" x14ac:dyDescent="0.3">
      <c r="A32" s="5"/>
      <c r="B32" s="21" t="s">
        <v>31</v>
      </c>
      <c r="C32" s="25">
        <f>SUMIFS(Perfis!$D$2:$D$19,Perfis!$B$2:$B$19,$C$26,Perfis!$C$2:$C$19,$B32)</f>
        <v>0.08</v>
      </c>
      <c r="D32" s="22">
        <f t="shared" si="2"/>
        <v>16</v>
      </c>
      <c r="E32" s="5"/>
      <c r="F32" s="5"/>
      <c r="G32" s="5"/>
      <c r="H32" s="5"/>
      <c r="I32" s="5"/>
      <c r="J32" s="5"/>
    </row>
    <row r="33" spans="1:10" ht="34.049999999999997" customHeight="1" x14ac:dyDescent="0.3">
      <c r="A33" s="5"/>
      <c r="B33" s="21" t="s">
        <v>32</v>
      </c>
      <c r="C33" s="25">
        <f>SUMIFS(Perfis!$D$2:$D$19,Perfis!$B$2:$B$19,$C$26,Perfis!$C$2:$C$19,$B33)</f>
        <v>0.05</v>
      </c>
      <c r="D33" s="22">
        <f t="shared" si="2"/>
        <v>10</v>
      </c>
      <c r="E33" s="5"/>
      <c r="F33" s="5"/>
      <c r="G33" s="5"/>
      <c r="H33" s="5"/>
      <c r="I33" s="5"/>
      <c r="J33" s="5"/>
    </row>
    <row r="34" spans="1:10" x14ac:dyDescent="0.3">
      <c r="A34" s="5"/>
      <c r="B34" s="21" t="s">
        <v>33</v>
      </c>
      <c r="C34" s="25">
        <f>SUMIFS(Perfis!$D$2:$D$19,Perfis!$B$2:$B$19,$C$26,Perfis!$C$2:$C$19,$B34)</f>
        <v>0.1</v>
      </c>
      <c r="D34" s="22">
        <f t="shared" si="2"/>
        <v>20</v>
      </c>
      <c r="E34" s="5"/>
      <c r="F34" s="5"/>
      <c r="G34" s="5"/>
      <c r="H34" s="5"/>
      <c r="I34" s="5"/>
      <c r="J34" s="5"/>
    </row>
    <row r="35" spans="1:10" x14ac:dyDescent="0.3">
      <c r="A35" s="5"/>
      <c r="B35" s="21" t="s">
        <v>34</v>
      </c>
      <c r="C35" s="25">
        <f>SUMIFS(Perfis!$D$2:$D$19,Perfis!$B$2:$B$19,$C$26,Perfis!$C$2:$C$19,$B35)</f>
        <v>0.1</v>
      </c>
      <c r="D35" s="22">
        <f t="shared" si="2"/>
        <v>20</v>
      </c>
      <c r="E35" s="5"/>
      <c r="F35" s="5"/>
      <c r="G35" s="5"/>
      <c r="H35" s="5"/>
      <c r="I35" s="5"/>
      <c r="J35" s="5"/>
    </row>
    <row r="36" spans="1:10" x14ac:dyDescent="0.3">
      <c r="A36" s="5"/>
      <c r="B36" s="26" t="s">
        <v>35</v>
      </c>
      <c r="C36" s="26"/>
      <c r="D36" s="27">
        <f>SUM(D30:D35)</f>
        <v>200</v>
      </c>
      <c r="E36" s="5"/>
      <c r="F36" s="5"/>
      <c r="G36" s="5"/>
      <c r="H36" s="5"/>
      <c r="I36" s="5"/>
      <c r="J36" s="5"/>
    </row>
    <row r="37" spans="1:10" x14ac:dyDescent="0.3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34.950000000000003" customHeight="1" x14ac:dyDescent="0.3">
      <c r="A38" s="10" t="s">
        <v>36</v>
      </c>
      <c r="B38" s="9"/>
      <c r="C38" s="9"/>
      <c r="D38" s="9"/>
      <c r="E38" s="9"/>
      <c r="F38" s="9"/>
      <c r="G38" s="9"/>
      <c r="H38" s="9"/>
      <c r="I38" s="9"/>
      <c r="J38" s="9"/>
    </row>
  </sheetData>
  <mergeCells count="7">
    <mergeCell ref="B36:C36"/>
    <mergeCell ref="A38:J38"/>
    <mergeCell ref="A1:J1"/>
    <mergeCell ref="A2:J2"/>
    <mergeCell ref="B4:D4"/>
    <mergeCell ref="B9:D9"/>
    <mergeCell ref="B25:D25"/>
  </mergeCells>
  <conditionalFormatting sqref="C19:C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{EE68BF11-FF8E-4619-B99B-7E647673B007}</x14:id>
        </ext>
      </extLst>
    </cfRule>
  </conditionalFormatting>
  <conditionalFormatting sqref="D30:D3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{9026EE9B-E7EA-4CE7-A1B8-9EEBC13983A9}</x14:id>
        </ext>
      </extLst>
    </cfRule>
  </conditionalFormatting>
  <dataValidations count="4">
    <dataValidation type="whole" allowBlank="1" showInputMessage="1" showErrorMessage="1" sqref="D11" xr:uid="{9BFACD75-C419-485F-B6E4-16877D661E4F}">
      <formula1>1</formula1>
      <formula2>30</formula2>
    </dataValidation>
    <dataValidation type="decimal" allowBlank="1" showInputMessage="1" showErrorMessage="1" sqref="D6 D12" xr:uid="{CF19A7A4-478A-4103-A2CE-417538A2C38C}">
      <formula1>0</formula1>
      <formula2>0.05</formula2>
    </dataValidation>
    <dataValidation type="decimal" allowBlank="1" showInputMessage="1" showErrorMessage="1" sqref="D5 D10" xr:uid="{DBE1578A-34D8-4ED4-85DC-027A242D2939}">
      <formula1>0</formula1>
      <formula2>10000000</formula2>
    </dataValidation>
    <dataValidation type="list" allowBlank="1" showInputMessage="1" showErrorMessage="1" sqref="C26" xr:uid="{B42F02F5-92E4-44E4-BD2A-B309C6E673B1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68BF11-FF8E-4619-B99B-7E647673B007}">
            <x14:dataBar minLength="0" maxLength="100" negativeBarColorSameAsPositive="1" axisPosition="none">
              <x14:cfvo type="min"/>
              <x14:cfvo type="max"/>
            </x14:dataBar>
          </x14:cfRule>
          <xm:sqref>C19:C23</xm:sqref>
        </x14:conditionalFormatting>
        <x14:conditionalFormatting xmlns:xm="http://schemas.microsoft.com/office/excel/2006/main">
          <x14:cfRule type="dataBar" id="{9026EE9B-E7EA-4CE7-A1B8-9EEBC13983A9}">
            <x14:dataBar minLength="0" maxLength="100" negativeBarColorSameAsPositive="1" axisPosition="none">
              <x14:cfvo type="min"/>
              <x14:cfvo type="max"/>
            </x14:dataBar>
          </x14:cfRule>
          <xm:sqref>D30:D35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D936-1743-445F-A576-E4372CEFA184}">
  <dimension ref="A1:G362"/>
  <sheetViews>
    <sheetView workbookViewId="0">
      <pane ySplit="1" topLeftCell="A2" activePane="bottomLeft" state="frozen"/>
      <selection pane="bottomLeft" sqref="A1:J1"/>
    </sheetView>
  </sheetViews>
  <sheetFormatPr defaultRowHeight="14.4" x14ac:dyDescent="0.3"/>
  <cols>
    <col min="1" max="1" width="7" bestFit="1" customWidth="1"/>
    <col min="2" max="2" width="9.33203125" bestFit="1" customWidth="1"/>
    <col min="3" max="3" width="9.88671875" bestFit="1" customWidth="1"/>
    <col min="4" max="4" width="14.44140625" bestFit="1" customWidth="1"/>
    <col min="5" max="5" width="14.21875" bestFit="1" customWidth="1"/>
    <col min="6" max="6" width="17.77734375" bestFit="1" customWidth="1"/>
    <col min="7" max="7" width="23.88671875" bestFit="1" customWidth="1"/>
    <col min="8" max="8" width="17.77734375" bestFit="1" customWidth="1"/>
    <col min="9" max="9" width="25.5546875" bestFit="1" customWidth="1"/>
    <col min="10" max="10" width="16.5546875" bestFit="1" customWidth="1"/>
  </cols>
  <sheetData>
    <row r="1" spans="1:7" ht="30" customHeight="1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42</v>
      </c>
      <c r="F1" s="2" t="s">
        <v>6</v>
      </c>
      <c r="G1" s="2" t="s">
        <v>43</v>
      </c>
    </row>
    <row r="2" spans="1:7" x14ac:dyDescent="0.3">
      <c r="A2" s="2">
        <v>0</v>
      </c>
      <c r="B2" s="3">
        <v>46294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3">
      <c r="A3" s="2">
        <f>A2+1</f>
        <v>1</v>
      </c>
      <c r="B3" s="3">
        <f>IF(A3&lt;=APP!$D$11*12,EDATE(B2,1),"")</f>
        <v>46324</v>
      </c>
      <c r="C3" s="4">
        <f>IF(A3&lt;=APP!$D$11*12,APP!$D$10,"")</f>
        <v>200</v>
      </c>
      <c r="D3" s="4">
        <f>IF(A3&lt;=APP!$D$11*12,F2,"")</f>
        <v>0</v>
      </c>
      <c r="E3" s="4">
        <f>IF(A3&lt;=APP!$D$11*12,D3*APP!$D$12,"")</f>
        <v>0</v>
      </c>
      <c r="F3" s="4">
        <f>IF(A3&lt;=APP!$D$11*12,D3+E3+C3,"")</f>
        <v>200</v>
      </c>
      <c r="G3" s="4">
        <f>IF(A3&lt;=APP!$D$11*12,F3*APP!$D$6,"")</f>
        <v>1.2</v>
      </c>
    </row>
    <row r="4" spans="1:7" x14ac:dyDescent="0.3">
      <c r="A4" s="2">
        <f t="shared" ref="A4:A67" si="0">A3+1</f>
        <v>2</v>
      </c>
      <c r="B4" s="3">
        <f>IF(A4&lt;=APP!$D$11*12,EDATE(B3,1),"")</f>
        <v>46355</v>
      </c>
      <c r="C4" s="4">
        <f>IF(A4&lt;=APP!$D$11*12,APP!$D$10,"")</f>
        <v>200</v>
      </c>
      <c r="D4" s="4">
        <f>IF(A4&lt;=APP!$D$11*12,F3,"")</f>
        <v>200</v>
      </c>
      <c r="E4" s="4">
        <f>IF(A4&lt;=APP!$D$11*12,D4*APP!$D$12,"")</f>
        <v>2.1579999999999999</v>
      </c>
      <c r="F4" s="4">
        <f>IF(A4&lt;=APP!$D$11*12,D4+E4+C4,"")</f>
        <v>402.15800000000002</v>
      </c>
      <c r="G4" s="4">
        <f>IF(A4&lt;=APP!$D$11*12,F4*APP!$D$6,"")</f>
        <v>2.4129480000000001</v>
      </c>
    </row>
    <row r="5" spans="1:7" x14ac:dyDescent="0.3">
      <c r="A5" s="2">
        <f t="shared" si="0"/>
        <v>3</v>
      </c>
      <c r="B5" s="3">
        <f>IF(A5&lt;=APP!$D$11*12,EDATE(B4,1),"")</f>
        <v>46385</v>
      </c>
      <c r="C5" s="4">
        <f>IF(A5&lt;=APP!$D$11*12,APP!$D$10,"")</f>
        <v>200</v>
      </c>
      <c r="D5" s="4">
        <f>IF(A5&lt;=APP!$D$11*12,F4,"")</f>
        <v>402.15800000000002</v>
      </c>
      <c r="E5" s="4">
        <f>IF(A5&lt;=APP!$D$11*12,D5*APP!$D$12,"")</f>
        <v>4.3392848199999996</v>
      </c>
      <c r="F5" s="4">
        <f>IF(A5&lt;=APP!$D$11*12,D5+E5+C5,"")</f>
        <v>606.49728482</v>
      </c>
      <c r="G5" s="4">
        <f>IF(A5&lt;=APP!$D$11*12,F5*APP!$D$6,"")</f>
        <v>3.6389837089200001</v>
      </c>
    </row>
    <row r="6" spans="1:7" x14ac:dyDescent="0.3">
      <c r="A6" s="2">
        <f t="shared" si="0"/>
        <v>4</v>
      </c>
      <c r="B6" s="3">
        <f>IF(A6&lt;=APP!$D$11*12,EDATE(B5,1),"")</f>
        <v>46416</v>
      </c>
      <c r="C6" s="4">
        <f>IF(A6&lt;=APP!$D$11*12,APP!$D$10,"")</f>
        <v>200</v>
      </c>
      <c r="D6" s="4">
        <f>IF(A6&lt;=APP!$D$11*12,F5,"")</f>
        <v>606.49728482</v>
      </c>
      <c r="E6" s="4">
        <f>IF(A6&lt;=APP!$D$11*12,D6*APP!$D$12,"")</f>
        <v>6.5441057032077996</v>
      </c>
      <c r="F6" s="4">
        <f>IF(A6&lt;=APP!$D$11*12,D6+E6+C6,"")</f>
        <v>813.04139052320784</v>
      </c>
      <c r="G6" s="4">
        <f>IF(A6&lt;=APP!$D$11*12,F6*APP!$D$6,"")</f>
        <v>4.8782483431392469</v>
      </c>
    </row>
    <row r="7" spans="1:7" x14ac:dyDescent="0.3">
      <c r="A7" s="2">
        <f t="shared" si="0"/>
        <v>5</v>
      </c>
      <c r="B7" s="3">
        <f>IF(A7&lt;=APP!$D$11*12,EDATE(B6,1),"")</f>
        <v>46446</v>
      </c>
      <c r="C7" s="4">
        <f>IF(A7&lt;=APP!$D$11*12,APP!$D$10,"")</f>
        <v>200</v>
      </c>
      <c r="D7" s="4">
        <f>IF(A7&lt;=APP!$D$11*12,F6,"")</f>
        <v>813.04139052320784</v>
      </c>
      <c r="E7" s="4">
        <f>IF(A7&lt;=APP!$D$11*12,D7*APP!$D$12,"")</f>
        <v>8.7727166037454118</v>
      </c>
      <c r="F7" s="4">
        <f>IF(A7&lt;=APP!$D$11*12,D7+E7+C7,"")</f>
        <v>1021.8141071269532</v>
      </c>
      <c r="G7" s="4">
        <f>IF(A7&lt;=APP!$D$11*12,F7*APP!$D$6,"")</f>
        <v>6.1308846427617194</v>
      </c>
    </row>
    <row r="8" spans="1:7" x14ac:dyDescent="0.3">
      <c r="A8" s="2">
        <f t="shared" si="0"/>
        <v>6</v>
      </c>
      <c r="B8" s="3">
        <f>IF(A8&lt;=APP!$D$11*12,EDATE(B7,1),"")</f>
        <v>46474</v>
      </c>
      <c r="C8" s="4">
        <f>IF(A8&lt;=APP!$D$11*12,APP!$D$10,"")</f>
        <v>200</v>
      </c>
      <c r="D8" s="4">
        <f>IF(A8&lt;=APP!$D$11*12,F7,"")</f>
        <v>1021.8141071269532</v>
      </c>
      <c r="E8" s="4">
        <f>IF(A8&lt;=APP!$D$11*12,D8*APP!$D$12,"")</f>
        <v>11.025374215899824</v>
      </c>
      <c r="F8" s="4">
        <f>IF(A8&lt;=APP!$D$11*12,D8+E8+C8,"")</f>
        <v>1232.8394813428531</v>
      </c>
      <c r="G8" s="4">
        <f>IF(A8&lt;=APP!$D$11*12,F8*APP!$D$6,"")</f>
        <v>7.3970368880571185</v>
      </c>
    </row>
    <row r="9" spans="1:7" x14ac:dyDescent="0.3">
      <c r="A9" s="2">
        <f t="shared" si="0"/>
        <v>7</v>
      </c>
      <c r="B9" s="3">
        <f>IF(A9&lt;=APP!$D$11*12,EDATE(B8,1),"")</f>
        <v>46505</v>
      </c>
      <c r="C9" s="4">
        <f>IF(A9&lt;=APP!$D$11*12,APP!$D$10,"")</f>
        <v>200</v>
      </c>
      <c r="D9" s="4">
        <f>IF(A9&lt;=APP!$D$11*12,F8,"")</f>
        <v>1232.8394813428531</v>
      </c>
      <c r="E9" s="4">
        <f>IF(A9&lt;=APP!$D$11*12,D9*APP!$D$12,"")</f>
        <v>13.302338003689384</v>
      </c>
      <c r="F9" s="4">
        <f>IF(A9&lt;=APP!$D$11*12,D9+E9+C9,"")</f>
        <v>1446.1418193465424</v>
      </c>
      <c r="G9" s="4">
        <f>IF(A9&lt;=APP!$D$11*12,F9*APP!$D$6,"")</f>
        <v>8.6768509160792551</v>
      </c>
    </row>
    <row r="10" spans="1:7" x14ac:dyDescent="0.3">
      <c r="A10" s="2">
        <f t="shared" si="0"/>
        <v>8</v>
      </c>
      <c r="B10" s="3">
        <f>IF(A10&lt;=APP!$D$11*12,EDATE(B9,1),"")</f>
        <v>46535</v>
      </c>
      <c r="C10" s="4">
        <f>IF(A10&lt;=APP!$D$11*12,APP!$D$10,"")</f>
        <v>200</v>
      </c>
      <c r="D10" s="4">
        <f>IF(A10&lt;=APP!$D$11*12,F9,"")</f>
        <v>1446.1418193465424</v>
      </c>
      <c r="E10" s="4">
        <f>IF(A10&lt;=APP!$D$11*12,D10*APP!$D$12,"")</f>
        <v>15.603870230749191</v>
      </c>
      <c r="F10" s="4">
        <f>IF(A10&lt;=APP!$D$11*12,D10+E10+C10,"")</f>
        <v>1661.7456895772916</v>
      </c>
      <c r="G10" s="4">
        <f>IF(A10&lt;=APP!$D$11*12,F10*APP!$D$6,"")</f>
        <v>9.97047413746375</v>
      </c>
    </row>
    <row r="11" spans="1:7" x14ac:dyDescent="0.3">
      <c r="A11" s="2">
        <f t="shared" si="0"/>
        <v>9</v>
      </c>
      <c r="B11" s="3">
        <f>IF(A11&lt;=APP!$D$11*12,EDATE(B10,1),"")</f>
        <v>46566</v>
      </c>
      <c r="C11" s="4">
        <f>IF(A11&lt;=APP!$D$11*12,APP!$D$10,"")</f>
        <v>200</v>
      </c>
      <c r="D11" s="4">
        <f>IF(A11&lt;=APP!$D$11*12,F10,"")</f>
        <v>1661.7456895772916</v>
      </c>
      <c r="E11" s="4">
        <f>IF(A11&lt;=APP!$D$11*12,D11*APP!$D$12,"")</f>
        <v>17.930235990538975</v>
      </c>
      <c r="F11" s="4">
        <f>IF(A11&lt;=APP!$D$11*12,D11+E11+C11,"")</f>
        <v>1879.6759255678305</v>
      </c>
      <c r="G11" s="4">
        <f>IF(A11&lt;=APP!$D$11*12,F11*APP!$D$6,"")</f>
        <v>11.278055553406983</v>
      </c>
    </row>
    <row r="12" spans="1:7" x14ac:dyDescent="0.3">
      <c r="A12" s="2">
        <f t="shared" si="0"/>
        <v>10</v>
      </c>
      <c r="B12" s="3">
        <f>IF(A12&lt;=APP!$D$11*12,EDATE(B11,1),"")</f>
        <v>46596</v>
      </c>
      <c r="C12" s="4">
        <f>IF(A12&lt;=APP!$D$11*12,APP!$D$10,"")</f>
        <v>200</v>
      </c>
      <c r="D12" s="4">
        <f>IF(A12&lt;=APP!$D$11*12,F11,"")</f>
        <v>1879.6759255678305</v>
      </c>
      <c r="E12" s="4">
        <f>IF(A12&lt;=APP!$D$11*12,D12*APP!$D$12,"")</f>
        <v>20.28170323687689</v>
      </c>
      <c r="F12" s="4">
        <f>IF(A12&lt;=APP!$D$11*12,D12+E12+C12,"")</f>
        <v>2099.9576288047074</v>
      </c>
      <c r="G12" s="4">
        <f>IF(A12&lt;=APP!$D$11*12,F12*APP!$D$6,"")</f>
        <v>12.599745772828244</v>
      </c>
    </row>
    <row r="13" spans="1:7" x14ac:dyDescent="0.3">
      <c r="A13" s="2">
        <f t="shared" si="0"/>
        <v>11</v>
      </c>
      <c r="B13" s="3">
        <f>IF(A13&lt;=APP!$D$11*12,EDATE(B12,1),"")</f>
        <v>46627</v>
      </c>
      <c r="C13" s="4">
        <f>IF(A13&lt;=APP!$D$11*12,APP!$D$10,"")</f>
        <v>200</v>
      </c>
      <c r="D13" s="4">
        <f>IF(A13&lt;=APP!$D$11*12,F12,"")</f>
        <v>2099.9576288047074</v>
      </c>
      <c r="E13" s="4">
        <f>IF(A13&lt;=APP!$D$11*12,D13*APP!$D$12,"")</f>
        <v>22.658542814802789</v>
      </c>
      <c r="F13" s="4">
        <f>IF(A13&lt;=APP!$D$11*12,D13+E13+C13,"")</f>
        <v>2322.6161716195102</v>
      </c>
      <c r="G13" s="4">
        <f>IF(A13&lt;=APP!$D$11*12,F13*APP!$D$6,"")</f>
        <v>13.935697029717062</v>
      </c>
    </row>
    <row r="14" spans="1:7" x14ac:dyDescent="0.3">
      <c r="A14" s="2">
        <f t="shared" si="0"/>
        <v>12</v>
      </c>
      <c r="B14" s="3">
        <f>IF(A14&lt;=APP!$D$11*12,EDATE(B13,1),"")</f>
        <v>46658</v>
      </c>
      <c r="C14" s="4">
        <f>IF(A14&lt;=APP!$D$11*12,APP!$D$10,"")</f>
        <v>200</v>
      </c>
      <c r="D14" s="4">
        <f>IF(A14&lt;=APP!$D$11*12,F13,"")</f>
        <v>2322.6161716195102</v>
      </c>
      <c r="E14" s="4">
        <f>IF(A14&lt;=APP!$D$11*12,D14*APP!$D$12,"")</f>
        <v>25.061028491774511</v>
      </c>
      <c r="F14" s="4">
        <f>IF(A14&lt;=APP!$D$11*12,D14+E14+C14,"")</f>
        <v>2547.6772001112845</v>
      </c>
      <c r="G14" s="4">
        <f>IF(A14&lt;=APP!$D$11*12,F14*APP!$D$6,"")</f>
        <v>15.286063200667707</v>
      </c>
    </row>
    <row r="15" spans="1:7" x14ac:dyDescent="0.3">
      <c r="A15" s="2">
        <f t="shared" si="0"/>
        <v>13</v>
      </c>
      <c r="B15" s="3">
        <f>IF(A15&lt;=APP!$D$11*12,EDATE(B14,1),"")</f>
        <v>46688</v>
      </c>
      <c r="C15" s="4">
        <f>IF(A15&lt;=APP!$D$11*12,APP!$D$10,"")</f>
        <v>200</v>
      </c>
      <c r="D15" s="4">
        <f>IF(A15&lt;=APP!$D$11*12,F14,"")</f>
        <v>2547.6772001112845</v>
      </c>
      <c r="E15" s="4">
        <f>IF(A15&lt;=APP!$D$11*12,D15*APP!$D$12,"")</f>
        <v>27.489436989200758</v>
      </c>
      <c r="F15" s="4">
        <f>IF(A15&lt;=APP!$D$11*12,D15+E15+C15,"")</f>
        <v>2775.1666371004853</v>
      </c>
      <c r="G15" s="4">
        <f>IF(A15&lt;=APP!$D$11*12,F15*APP!$D$6,"")</f>
        <v>16.650999822602913</v>
      </c>
    </row>
    <row r="16" spans="1:7" x14ac:dyDescent="0.3">
      <c r="A16" s="2">
        <f t="shared" si="0"/>
        <v>14</v>
      </c>
      <c r="B16" s="3">
        <f>IF(A16&lt;=APP!$D$11*12,EDATE(B15,1),"")</f>
        <v>46719</v>
      </c>
      <c r="C16" s="4">
        <f>IF(A16&lt;=APP!$D$11*12,APP!$D$10,"")</f>
        <v>200</v>
      </c>
      <c r="D16" s="4">
        <f>IF(A16&lt;=APP!$D$11*12,F15,"")</f>
        <v>2775.1666371004853</v>
      </c>
      <c r="E16" s="4">
        <f>IF(A16&lt;=APP!$D$11*12,D16*APP!$D$12,"")</f>
        <v>29.944048014314234</v>
      </c>
      <c r="F16" s="4">
        <f>IF(A16&lt;=APP!$D$11*12,D16+E16+C16,"")</f>
        <v>3005.1106851147997</v>
      </c>
      <c r="G16" s="4">
        <f>IF(A16&lt;=APP!$D$11*12,F16*APP!$D$6,"")</f>
        <v>18.0306641106888</v>
      </c>
    </row>
    <row r="17" spans="1:7" x14ac:dyDescent="0.3">
      <c r="A17" s="2">
        <f t="shared" si="0"/>
        <v>15</v>
      </c>
      <c r="B17" s="3">
        <f>IF(A17&lt;=APP!$D$11*12,EDATE(B16,1),"")</f>
        <v>46749</v>
      </c>
      <c r="C17" s="4">
        <f>IF(A17&lt;=APP!$D$11*12,APP!$D$10,"")</f>
        <v>200</v>
      </c>
      <c r="D17" s="4">
        <f>IF(A17&lt;=APP!$D$11*12,F16,"")</f>
        <v>3005.1106851147997</v>
      </c>
      <c r="E17" s="4">
        <f>IF(A17&lt;=APP!$D$11*12,D17*APP!$D$12,"")</f>
        <v>32.425144292388687</v>
      </c>
      <c r="F17" s="4">
        <f>IF(A17&lt;=APP!$D$11*12,D17+E17+C17,"")</f>
        <v>3237.5358294071884</v>
      </c>
      <c r="G17" s="4">
        <f>IF(A17&lt;=APP!$D$11*12,F17*APP!$D$6,"")</f>
        <v>19.425214976443129</v>
      </c>
    </row>
    <row r="18" spans="1:7" x14ac:dyDescent="0.3">
      <c r="A18" s="2">
        <f t="shared" si="0"/>
        <v>16</v>
      </c>
      <c r="B18" s="3">
        <f>IF(A18&lt;=APP!$D$11*12,EDATE(B17,1),"")</f>
        <v>46780</v>
      </c>
      <c r="C18" s="4">
        <f>IF(A18&lt;=APP!$D$11*12,APP!$D$10,"")</f>
        <v>200</v>
      </c>
      <c r="D18" s="4">
        <f>IF(A18&lt;=APP!$D$11*12,F17,"")</f>
        <v>3237.5358294071884</v>
      </c>
      <c r="E18" s="4">
        <f>IF(A18&lt;=APP!$D$11*12,D18*APP!$D$12,"")</f>
        <v>34.933011599303562</v>
      </c>
      <c r="F18" s="4">
        <f>IF(A18&lt;=APP!$D$11*12,D18+E18+C18,"")</f>
        <v>3472.4688410064919</v>
      </c>
      <c r="G18" s="4">
        <f>IF(A18&lt;=APP!$D$11*12,F18*APP!$D$6,"")</f>
        <v>20.834813046038953</v>
      </c>
    </row>
    <row r="19" spans="1:7" x14ac:dyDescent="0.3">
      <c r="A19" s="2">
        <f t="shared" si="0"/>
        <v>17</v>
      </c>
      <c r="B19" s="3">
        <f>IF(A19&lt;=APP!$D$11*12,EDATE(B18,1),"")</f>
        <v>46811</v>
      </c>
      <c r="C19" s="4">
        <f>IF(A19&lt;=APP!$D$11*12,APP!$D$10,"")</f>
        <v>200</v>
      </c>
      <c r="D19" s="4">
        <f>IF(A19&lt;=APP!$D$11*12,F18,"")</f>
        <v>3472.4688410064919</v>
      </c>
      <c r="E19" s="4">
        <f>IF(A19&lt;=APP!$D$11*12,D19*APP!$D$12,"")</f>
        <v>37.467938794460046</v>
      </c>
      <c r="F19" s="4">
        <f>IF(A19&lt;=APP!$D$11*12,D19+E19+C19,"")</f>
        <v>3709.9367798009521</v>
      </c>
      <c r="G19" s="4">
        <f>IF(A19&lt;=APP!$D$11*12,F19*APP!$D$6,"")</f>
        <v>22.259620678805714</v>
      </c>
    </row>
    <row r="20" spans="1:7" x14ac:dyDescent="0.3">
      <c r="A20" s="2">
        <f t="shared" si="0"/>
        <v>18</v>
      </c>
      <c r="B20" s="3">
        <f>IF(A20&lt;=APP!$D$11*12,EDATE(B19,1),"")</f>
        <v>46840</v>
      </c>
      <c r="C20" s="4">
        <f>IF(A20&lt;=APP!$D$11*12,APP!$D$10,"")</f>
        <v>200</v>
      </c>
      <c r="D20" s="4">
        <f>IF(A20&lt;=APP!$D$11*12,F19,"")</f>
        <v>3709.9367798009521</v>
      </c>
      <c r="E20" s="4">
        <f>IF(A20&lt;=APP!$D$11*12,D20*APP!$D$12,"")</f>
        <v>40.030217854052268</v>
      </c>
      <c r="F20" s="4">
        <f>IF(A20&lt;=APP!$D$11*12,D20+E20+C20,"")</f>
        <v>3949.9669976550044</v>
      </c>
      <c r="G20" s="4">
        <f>IF(A20&lt;=APP!$D$11*12,F20*APP!$D$6,"")</f>
        <v>23.699801985930026</v>
      </c>
    </row>
    <row r="21" spans="1:7" x14ac:dyDescent="0.3">
      <c r="A21" s="2">
        <f t="shared" si="0"/>
        <v>19</v>
      </c>
      <c r="B21" s="3">
        <f>IF(A21&lt;=APP!$D$11*12,EDATE(B20,1),"")</f>
        <v>46871</v>
      </c>
      <c r="C21" s="4">
        <f>IF(A21&lt;=APP!$D$11*12,APP!$D$10,"")</f>
        <v>200</v>
      </c>
      <c r="D21" s="4">
        <f>IF(A21&lt;=APP!$D$11*12,F20,"")</f>
        <v>3949.9669976550044</v>
      </c>
      <c r="E21" s="4">
        <f>IF(A21&lt;=APP!$D$11*12,D21*APP!$D$12,"")</f>
        <v>42.620143904697493</v>
      </c>
      <c r="F21" s="4">
        <f>IF(A21&lt;=APP!$D$11*12,D21+E21+C21,"")</f>
        <v>4192.5871415597021</v>
      </c>
      <c r="G21" s="4">
        <f>IF(A21&lt;=APP!$D$11*12,F21*APP!$D$6,"")</f>
        <v>25.155522849358213</v>
      </c>
    </row>
    <row r="22" spans="1:7" x14ac:dyDescent="0.3">
      <c r="A22" s="2">
        <f t="shared" si="0"/>
        <v>20</v>
      </c>
      <c r="B22" s="3">
        <f>IF(A22&lt;=APP!$D$11*12,EDATE(B21,1),"")</f>
        <v>46901</v>
      </c>
      <c r="C22" s="4">
        <f>IF(A22&lt;=APP!$D$11*12,APP!$D$10,"")</f>
        <v>200</v>
      </c>
      <c r="D22" s="4">
        <f>IF(A22&lt;=APP!$D$11*12,F21,"")</f>
        <v>4192.5871415597021</v>
      </c>
      <c r="E22" s="4">
        <f>IF(A22&lt;=APP!$D$11*12,D22*APP!$D$12,"")</f>
        <v>45.238015257429183</v>
      </c>
      <c r="F22" s="4">
        <f>IF(A22&lt;=APP!$D$11*12,D22+E22+C22,"")</f>
        <v>4437.8251568171308</v>
      </c>
      <c r="G22" s="4">
        <f>IF(A22&lt;=APP!$D$11*12,F22*APP!$D$6,"")</f>
        <v>26.626950940902784</v>
      </c>
    </row>
    <row r="23" spans="1:7" x14ac:dyDescent="0.3">
      <c r="A23" s="2">
        <f t="shared" si="0"/>
        <v>21</v>
      </c>
      <c r="B23" s="3">
        <f>IF(A23&lt;=APP!$D$11*12,EDATE(B22,1),"")</f>
        <v>46932</v>
      </c>
      <c r="C23" s="4">
        <f>IF(A23&lt;=APP!$D$11*12,APP!$D$10,"")</f>
        <v>200</v>
      </c>
      <c r="D23" s="4">
        <f>IF(A23&lt;=APP!$D$11*12,F22,"")</f>
        <v>4437.8251568171308</v>
      </c>
      <c r="E23" s="4">
        <f>IF(A23&lt;=APP!$D$11*12,D23*APP!$D$12,"")</f>
        <v>47.884133442056836</v>
      </c>
      <c r="F23" s="4">
        <f>IF(A23&lt;=APP!$D$11*12,D23+E23+C23,"")</f>
        <v>4685.7092902591876</v>
      </c>
      <c r="G23" s="4">
        <f>IF(A23&lt;=APP!$D$11*12,F23*APP!$D$6,"")</f>
        <v>28.114255741555127</v>
      </c>
    </row>
    <row r="24" spans="1:7" x14ac:dyDescent="0.3">
      <c r="A24" s="2">
        <f t="shared" si="0"/>
        <v>22</v>
      </c>
      <c r="B24" s="3">
        <f>IF(A24&lt;=APP!$D$11*12,EDATE(B23,1),"")</f>
        <v>46962</v>
      </c>
      <c r="C24" s="4">
        <f>IF(A24&lt;=APP!$D$11*12,APP!$D$10,"")</f>
        <v>200</v>
      </c>
      <c r="D24" s="4">
        <f>IF(A24&lt;=APP!$D$11*12,F23,"")</f>
        <v>4685.7092902591876</v>
      </c>
      <c r="E24" s="4">
        <f>IF(A24&lt;=APP!$D$11*12,D24*APP!$D$12,"")</f>
        <v>50.558803241896634</v>
      </c>
      <c r="F24" s="4">
        <f>IF(A24&lt;=APP!$D$11*12,D24+E24+C24,"")</f>
        <v>4936.268093501084</v>
      </c>
      <c r="G24" s="4">
        <f>IF(A24&lt;=APP!$D$11*12,F24*APP!$D$6,"")</f>
        <v>29.617608561006506</v>
      </c>
    </row>
    <row r="25" spans="1:7" x14ac:dyDescent="0.3">
      <c r="A25" s="2">
        <f t="shared" si="0"/>
        <v>23</v>
      </c>
      <c r="B25" s="3">
        <f>IF(A25&lt;=APP!$D$11*12,EDATE(B24,1),"")</f>
        <v>46993</v>
      </c>
      <c r="C25" s="4">
        <f>IF(A25&lt;=APP!$D$11*12,APP!$D$10,"")</f>
        <v>200</v>
      </c>
      <c r="D25" s="4">
        <f>IF(A25&lt;=APP!$D$11*12,F24,"")</f>
        <v>4936.268093501084</v>
      </c>
      <c r="E25" s="4">
        <f>IF(A25&lt;=APP!$D$11*12,D25*APP!$D$12,"")</f>
        <v>53.262332728876693</v>
      </c>
      <c r="F25" s="4">
        <f>IF(A25&lt;=APP!$D$11*12,D25+E25+C25,"")</f>
        <v>5189.5304262299605</v>
      </c>
      <c r="G25" s="4">
        <f>IF(A25&lt;=APP!$D$11*12,F25*APP!$D$6,"")</f>
        <v>31.137182557379763</v>
      </c>
    </row>
    <row r="26" spans="1:7" x14ac:dyDescent="0.3">
      <c r="A26" s="2">
        <f t="shared" si="0"/>
        <v>24</v>
      </c>
      <c r="B26" s="3">
        <f>IF(A26&lt;=APP!$D$11*12,EDATE(B25,1),"")</f>
        <v>47024</v>
      </c>
      <c r="C26" s="4">
        <f>IF(A26&lt;=APP!$D$11*12,APP!$D$10,"")</f>
        <v>200</v>
      </c>
      <c r="D26" s="4">
        <f>IF(A26&lt;=APP!$D$11*12,F25,"")</f>
        <v>5189.5304262299605</v>
      </c>
      <c r="E26" s="4">
        <f>IF(A26&lt;=APP!$D$11*12,D26*APP!$D$12,"")</f>
        <v>55.995033299021273</v>
      </c>
      <c r="F26" s="4">
        <f>IF(A26&lt;=APP!$D$11*12,D26+E26+C26,"")</f>
        <v>5445.5254595289816</v>
      </c>
      <c r="G26" s="4">
        <f>IF(A26&lt;=APP!$D$11*12,F26*APP!$D$6,"")</f>
        <v>32.673152757173888</v>
      </c>
    </row>
    <row r="27" spans="1:7" x14ac:dyDescent="0.3">
      <c r="A27" s="2">
        <f t="shared" si="0"/>
        <v>25</v>
      </c>
      <c r="B27" s="3">
        <f>IF(A27&lt;=APP!$D$11*12,EDATE(B26,1),"")</f>
        <v>47054</v>
      </c>
      <c r="C27" s="4">
        <f>IF(A27&lt;=APP!$D$11*12,APP!$D$10,"")</f>
        <v>200</v>
      </c>
      <c r="D27" s="4">
        <f>IF(A27&lt;=APP!$D$11*12,F26,"")</f>
        <v>5445.5254595289816</v>
      </c>
      <c r="E27" s="4">
        <f>IF(A27&lt;=APP!$D$11*12,D27*APP!$D$12,"")</f>
        <v>58.757219708317706</v>
      </c>
      <c r="F27" s="4">
        <f>IF(A27&lt;=APP!$D$11*12,D27+E27+C27,"")</f>
        <v>5704.2826792372989</v>
      </c>
      <c r="G27" s="4">
        <f>IF(A27&lt;=APP!$D$11*12,F27*APP!$D$6,"")</f>
        <v>34.225696075423791</v>
      </c>
    </row>
    <row r="28" spans="1:7" x14ac:dyDescent="0.3">
      <c r="A28" s="2">
        <f t="shared" si="0"/>
        <v>26</v>
      </c>
      <c r="B28" s="3">
        <f>IF(A28&lt;=APP!$D$11*12,EDATE(B27,1),"")</f>
        <v>47085</v>
      </c>
      <c r="C28" s="4">
        <f>IF(A28&lt;=APP!$D$11*12,APP!$D$10,"")</f>
        <v>200</v>
      </c>
      <c r="D28" s="4">
        <f>IF(A28&lt;=APP!$D$11*12,F27,"")</f>
        <v>5704.2826792372989</v>
      </c>
      <c r="E28" s="4">
        <f>IF(A28&lt;=APP!$D$11*12,D28*APP!$D$12,"")</f>
        <v>61.549210108970449</v>
      </c>
      <c r="F28" s="4">
        <f>IF(A28&lt;=APP!$D$11*12,D28+E28+C28,"")</f>
        <v>5965.8318893462692</v>
      </c>
      <c r="G28" s="4">
        <f>IF(A28&lt;=APP!$D$11*12,F28*APP!$D$6,"")</f>
        <v>35.794991336077615</v>
      </c>
    </row>
    <row r="29" spans="1:7" x14ac:dyDescent="0.3">
      <c r="A29" s="2">
        <f t="shared" si="0"/>
        <v>27</v>
      </c>
      <c r="B29" s="3">
        <f>IF(A29&lt;=APP!$D$11*12,EDATE(B28,1),"")</f>
        <v>47115</v>
      </c>
      <c r="C29" s="4">
        <f>IF(A29&lt;=APP!$D$11*12,APP!$D$10,"")</f>
        <v>200</v>
      </c>
      <c r="D29" s="4">
        <f>IF(A29&lt;=APP!$D$11*12,F28,"")</f>
        <v>5965.8318893462692</v>
      </c>
      <c r="E29" s="4">
        <f>IF(A29&lt;=APP!$D$11*12,D29*APP!$D$12,"")</f>
        <v>64.371326086046238</v>
      </c>
      <c r="F29" s="4">
        <f>IF(A29&lt;=APP!$D$11*12,D29+E29+C29,"")</f>
        <v>6230.2032154323151</v>
      </c>
      <c r="G29" s="4">
        <f>IF(A29&lt;=APP!$D$11*12,F29*APP!$D$6,"")</f>
        <v>37.38121929259389</v>
      </c>
    </row>
    <row r="30" spans="1:7" x14ac:dyDescent="0.3">
      <c r="A30" s="2">
        <f t="shared" si="0"/>
        <v>28</v>
      </c>
      <c r="B30" s="3">
        <f>IF(A30&lt;=APP!$D$11*12,EDATE(B29,1),"")</f>
        <v>47146</v>
      </c>
      <c r="C30" s="4">
        <f>IF(A30&lt;=APP!$D$11*12,APP!$D$10,"")</f>
        <v>200</v>
      </c>
      <c r="D30" s="4">
        <f>IF(A30&lt;=APP!$D$11*12,F29,"")</f>
        <v>6230.2032154323151</v>
      </c>
      <c r="E30" s="4">
        <f>IF(A30&lt;=APP!$D$11*12,D30*APP!$D$12,"")</f>
        <v>67.223892694514674</v>
      </c>
      <c r="F30" s="4">
        <f>IF(A30&lt;=APP!$D$11*12,D30+E30+C30,"")</f>
        <v>6497.4271081268298</v>
      </c>
      <c r="G30" s="4">
        <f>IF(A30&lt;=APP!$D$11*12,F30*APP!$D$6,"")</f>
        <v>38.984562648760978</v>
      </c>
    </row>
    <row r="31" spans="1:7" x14ac:dyDescent="0.3">
      <c r="A31" s="2">
        <f t="shared" si="0"/>
        <v>29</v>
      </c>
      <c r="B31" s="3">
        <f>IF(A31&lt;=APP!$D$11*12,EDATE(B30,1),"")</f>
        <v>47177</v>
      </c>
      <c r="C31" s="4">
        <f>IF(A31&lt;=APP!$D$11*12,APP!$D$10,"")</f>
        <v>200</v>
      </c>
      <c r="D31" s="4">
        <f>IF(A31&lt;=APP!$D$11*12,F30,"")</f>
        <v>6497.4271081268298</v>
      </c>
      <c r="E31" s="4">
        <f>IF(A31&lt;=APP!$D$11*12,D31*APP!$D$12,"")</f>
        <v>70.107238496688495</v>
      </c>
      <c r="F31" s="4">
        <f>IF(A31&lt;=APP!$D$11*12,D31+E31+C31,"")</f>
        <v>6767.5343466235181</v>
      </c>
      <c r="G31" s="4">
        <f>IF(A31&lt;=APP!$D$11*12,F31*APP!$D$6,"")</f>
        <v>40.605206079741109</v>
      </c>
    </row>
    <row r="32" spans="1:7" x14ac:dyDescent="0.3">
      <c r="A32" s="2">
        <f t="shared" si="0"/>
        <v>30</v>
      </c>
      <c r="B32" s="3">
        <f>IF(A32&lt;=APP!$D$11*12,EDATE(B31,1),"")</f>
        <v>47205</v>
      </c>
      <c r="C32" s="4">
        <f>IF(A32&lt;=APP!$D$11*12,APP!$D$10,"")</f>
        <v>200</v>
      </c>
      <c r="D32" s="4">
        <f>IF(A32&lt;=APP!$D$11*12,F31,"")</f>
        <v>6767.5343466235181</v>
      </c>
      <c r="E32" s="4">
        <f>IF(A32&lt;=APP!$D$11*12,D32*APP!$D$12,"")</f>
        <v>73.021695600067758</v>
      </c>
      <c r="F32" s="4">
        <f>IF(A32&lt;=APP!$D$11*12,D32+E32+C32,"")</f>
        <v>7040.5560422235858</v>
      </c>
      <c r="G32" s="4">
        <f>IF(A32&lt;=APP!$D$11*12,F32*APP!$D$6,"")</f>
        <v>42.243336253341518</v>
      </c>
    </row>
    <row r="33" spans="1:7" x14ac:dyDescent="0.3">
      <c r="A33" s="2">
        <f t="shared" si="0"/>
        <v>31</v>
      </c>
      <c r="B33" s="3">
        <f>IF(A33&lt;=APP!$D$11*12,EDATE(B32,1),"")</f>
        <v>47236</v>
      </c>
      <c r="C33" s="4">
        <f>IF(A33&lt;=APP!$D$11*12,APP!$D$10,"")</f>
        <v>200</v>
      </c>
      <c r="D33" s="4">
        <f>IF(A33&lt;=APP!$D$11*12,F32,"")</f>
        <v>7040.5560422235858</v>
      </c>
      <c r="E33" s="4">
        <f>IF(A33&lt;=APP!$D$11*12,D33*APP!$D$12,"")</f>
        <v>75.967599695592483</v>
      </c>
      <c r="F33" s="4">
        <f>IF(A33&lt;=APP!$D$11*12,D33+E33+C33,"")</f>
        <v>7316.5236419191779</v>
      </c>
      <c r="G33" s="4">
        <f>IF(A33&lt;=APP!$D$11*12,F33*APP!$D$6,"")</f>
        <v>43.899141851515068</v>
      </c>
    </row>
    <row r="34" spans="1:7" x14ac:dyDescent="0.3">
      <c r="A34" s="2">
        <f t="shared" si="0"/>
        <v>32</v>
      </c>
      <c r="B34" s="3">
        <f>IF(A34&lt;=APP!$D$11*12,EDATE(B33,1),"")</f>
        <v>47266</v>
      </c>
      <c r="C34" s="4">
        <f>IF(A34&lt;=APP!$D$11*12,APP!$D$10,"")</f>
        <v>200</v>
      </c>
      <c r="D34" s="4">
        <f>IF(A34&lt;=APP!$D$11*12,F33,"")</f>
        <v>7316.5236419191779</v>
      </c>
      <c r="E34" s="4">
        <f>IF(A34&lt;=APP!$D$11*12,D34*APP!$D$12,"")</f>
        <v>78.945290096307929</v>
      </c>
      <c r="F34" s="4">
        <f>IF(A34&lt;=APP!$D$11*12,D34+E34+C34,"")</f>
        <v>7595.4689320154857</v>
      </c>
      <c r="G34" s="4">
        <f>IF(A34&lt;=APP!$D$11*12,F34*APP!$D$6,"")</f>
        <v>45.572813592092913</v>
      </c>
    </row>
    <row r="35" spans="1:7" x14ac:dyDescent="0.3">
      <c r="A35" s="2">
        <f t="shared" si="0"/>
        <v>33</v>
      </c>
      <c r="B35" s="3">
        <f>IF(A35&lt;=APP!$D$11*12,EDATE(B34,1),"")</f>
        <v>47297</v>
      </c>
      <c r="C35" s="4">
        <f>IF(A35&lt;=APP!$D$11*12,APP!$D$10,"")</f>
        <v>200</v>
      </c>
      <c r="D35" s="4">
        <f>IF(A35&lt;=APP!$D$11*12,F34,"")</f>
        <v>7595.4689320154857</v>
      </c>
      <c r="E35" s="4">
        <f>IF(A35&lt;=APP!$D$11*12,D35*APP!$D$12,"")</f>
        <v>81.955109776447088</v>
      </c>
      <c r="F35" s="4">
        <f>IF(A35&lt;=APP!$D$11*12,D35+E35+C35,"")</f>
        <v>7877.4240417919327</v>
      </c>
      <c r="G35" s="4">
        <f>IF(A35&lt;=APP!$D$11*12,F35*APP!$D$6,"")</f>
        <v>47.264544250751598</v>
      </c>
    </row>
    <row r="36" spans="1:7" x14ac:dyDescent="0.3">
      <c r="A36" s="2">
        <f t="shared" si="0"/>
        <v>34</v>
      </c>
      <c r="B36" s="3">
        <f>IF(A36&lt;=APP!$D$11*12,EDATE(B35,1),"")</f>
        <v>47327</v>
      </c>
      <c r="C36" s="4">
        <f>IF(A36&lt;=APP!$D$11*12,APP!$D$10,"")</f>
        <v>200</v>
      </c>
      <c r="D36" s="4">
        <f>IF(A36&lt;=APP!$D$11*12,F35,"")</f>
        <v>7877.4240417919327</v>
      </c>
      <c r="E36" s="4">
        <f>IF(A36&lt;=APP!$D$11*12,D36*APP!$D$12,"")</f>
        <v>84.997405410934945</v>
      </c>
      <c r="F36" s="4">
        <f>IF(A36&lt;=APP!$D$11*12,D36+E36+C36,"")</f>
        <v>8162.421447202868</v>
      </c>
      <c r="G36" s="4">
        <f>IF(A36&lt;=APP!$D$11*12,F36*APP!$D$6,"")</f>
        <v>48.974528683217208</v>
      </c>
    </row>
    <row r="37" spans="1:7" x14ac:dyDescent="0.3">
      <c r="A37" s="2">
        <f t="shared" si="0"/>
        <v>35</v>
      </c>
      <c r="B37" s="3">
        <f>IF(A37&lt;=APP!$D$11*12,EDATE(B36,1),"")</f>
        <v>47358</v>
      </c>
      <c r="C37" s="4">
        <f>IF(A37&lt;=APP!$D$11*12,APP!$D$10,"")</f>
        <v>200</v>
      </c>
      <c r="D37" s="4">
        <f>IF(A37&lt;=APP!$D$11*12,F36,"")</f>
        <v>8162.421447202868</v>
      </c>
      <c r="E37" s="4">
        <f>IF(A37&lt;=APP!$D$11*12,D37*APP!$D$12,"")</f>
        <v>88.072527415318945</v>
      </c>
      <c r="F37" s="4">
        <f>IF(A37&lt;=APP!$D$11*12,D37+E37+C37,"")</f>
        <v>8450.4939746181863</v>
      </c>
      <c r="G37" s="4">
        <f>IF(A37&lt;=APP!$D$11*12,F37*APP!$D$6,"")</f>
        <v>50.702963847709121</v>
      </c>
    </row>
    <row r="38" spans="1:7" x14ac:dyDescent="0.3">
      <c r="A38" s="2">
        <f t="shared" si="0"/>
        <v>36</v>
      </c>
      <c r="B38" s="3">
        <f>IF(A38&lt;=APP!$D$11*12,EDATE(B37,1),"")</f>
        <v>47389</v>
      </c>
      <c r="C38" s="4">
        <f>IF(A38&lt;=APP!$D$11*12,APP!$D$10,"")</f>
        <v>200</v>
      </c>
      <c r="D38" s="4">
        <f>IF(A38&lt;=APP!$D$11*12,F37,"")</f>
        <v>8450.4939746181863</v>
      </c>
      <c r="E38" s="4">
        <f>IF(A38&lt;=APP!$D$11*12,D38*APP!$D$12,"")</f>
        <v>91.18082998613022</v>
      </c>
      <c r="F38" s="4">
        <f>IF(A38&lt;=APP!$D$11*12,D38+E38+C38,"")</f>
        <v>8741.6748046043158</v>
      </c>
      <c r="G38" s="4">
        <f>IF(A38&lt;=APP!$D$11*12,F38*APP!$D$6,"")</f>
        <v>52.450048827625899</v>
      </c>
    </row>
    <row r="39" spans="1:7" x14ac:dyDescent="0.3">
      <c r="A39" s="2">
        <f t="shared" si="0"/>
        <v>37</v>
      </c>
      <c r="B39" s="3">
        <f>IF(A39&lt;=APP!$D$11*12,EDATE(B38,1),"")</f>
        <v>47419</v>
      </c>
      <c r="C39" s="4">
        <f>IF(A39&lt;=APP!$D$11*12,APP!$D$10,"")</f>
        <v>200</v>
      </c>
      <c r="D39" s="4">
        <f>IF(A39&lt;=APP!$D$11*12,F38,"")</f>
        <v>8741.6748046043158</v>
      </c>
      <c r="E39" s="4">
        <f>IF(A39&lt;=APP!$D$11*12,D39*APP!$D$12,"")</f>
        <v>94.322671141680559</v>
      </c>
      <c r="F39" s="4">
        <f>IF(A39&lt;=APP!$D$11*12,D39+E39+C39,"")</f>
        <v>9035.9974757459968</v>
      </c>
      <c r="G39" s="4">
        <f>IF(A39&lt;=APP!$D$11*12,F39*APP!$D$6,"")</f>
        <v>54.215984854475984</v>
      </c>
    </row>
    <row r="40" spans="1:7" x14ac:dyDescent="0.3">
      <c r="A40" s="2">
        <f t="shared" si="0"/>
        <v>38</v>
      </c>
      <c r="B40" s="3">
        <f>IF(A40&lt;=APP!$D$11*12,EDATE(B39,1),"")</f>
        <v>47450</v>
      </c>
      <c r="C40" s="4">
        <f>IF(A40&lt;=APP!$D$11*12,APP!$D$10,"")</f>
        <v>200</v>
      </c>
      <c r="D40" s="4">
        <f>IF(A40&lt;=APP!$D$11*12,F39,"")</f>
        <v>9035.9974757459968</v>
      </c>
      <c r="E40" s="4">
        <f>IF(A40&lt;=APP!$D$11*12,D40*APP!$D$12,"")</f>
        <v>97.498412763299299</v>
      </c>
      <c r="F40" s="4">
        <f>IF(A40&lt;=APP!$D$11*12,D40+E40+C40,"")</f>
        <v>9333.4958885092965</v>
      </c>
      <c r="G40" s="4">
        <f>IF(A40&lt;=APP!$D$11*12,F40*APP!$D$6,"")</f>
        <v>56.000975331055777</v>
      </c>
    </row>
    <row r="41" spans="1:7" x14ac:dyDescent="0.3">
      <c r="A41" s="2">
        <f t="shared" si="0"/>
        <v>39</v>
      </c>
      <c r="B41" s="3">
        <f>IF(A41&lt;=APP!$D$11*12,EDATE(B40,1),"")</f>
        <v>47480</v>
      </c>
      <c r="C41" s="4">
        <f>IF(A41&lt;=APP!$D$11*12,APP!$D$10,"")</f>
        <v>200</v>
      </c>
      <c r="D41" s="4">
        <f>IF(A41&lt;=APP!$D$11*12,F40,"")</f>
        <v>9333.4958885092965</v>
      </c>
      <c r="E41" s="4">
        <f>IF(A41&lt;=APP!$D$11*12,D41*APP!$D$12,"")</f>
        <v>100.70842063701531</v>
      </c>
      <c r="F41" s="4">
        <f>IF(A41&lt;=APP!$D$11*12,D41+E41+C41,"")</f>
        <v>9634.2043091463111</v>
      </c>
      <c r="G41" s="4">
        <f>IF(A41&lt;=APP!$D$11*12,F41*APP!$D$6,"")</f>
        <v>57.805225854877868</v>
      </c>
    </row>
    <row r="42" spans="1:7" x14ac:dyDescent="0.3">
      <c r="A42" s="2">
        <f t="shared" si="0"/>
        <v>40</v>
      </c>
      <c r="B42" s="3">
        <f>IF(A42&lt;=APP!$D$11*12,EDATE(B41,1),"")</f>
        <v>47511</v>
      </c>
      <c r="C42" s="4">
        <f>IF(A42&lt;=APP!$D$11*12,APP!$D$10,"")</f>
        <v>200</v>
      </c>
      <c r="D42" s="4">
        <f>IF(A42&lt;=APP!$D$11*12,F41,"")</f>
        <v>9634.2043091463111</v>
      </c>
      <c r="E42" s="4">
        <f>IF(A42&lt;=APP!$D$11*12,D42*APP!$D$12,"")</f>
        <v>103.95306449568869</v>
      </c>
      <c r="F42" s="4">
        <f>IF(A42&lt;=APP!$D$11*12,D42+E42+C42,"")</f>
        <v>9938.1573736419996</v>
      </c>
      <c r="G42" s="4">
        <f>IF(A42&lt;=APP!$D$11*12,F42*APP!$D$6,"")</f>
        <v>59.628944241851997</v>
      </c>
    </row>
    <row r="43" spans="1:7" x14ac:dyDescent="0.3">
      <c r="A43" s="2">
        <f t="shared" si="0"/>
        <v>41</v>
      </c>
      <c r="B43" s="3">
        <f>IF(A43&lt;=APP!$D$11*12,EDATE(B42,1),"")</f>
        <v>47542</v>
      </c>
      <c r="C43" s="4">
        <f>IF(A43&lt;=APP!$D$11*12,APP!$D$10,"")</f>
        <v>200</v>
      </c>
      <c r="D43" s="4">
        <f>IF(A43&lt;=APP!$D$11*12,F42,"")</f>
        <v>9938.1573736419996</v>
      </c>
      <c r="E43" s="4">
        <f>IF(A43&lt;=APP!$D$11*12,D43*APP!$D$12,"")</f>
        <v>107.23271806159717</v>
      </c>
      <c r="F43" s="4">
        <f>IF(A43&lt;=APP!$D$11*12,D43+E43+C43,"")</f>
        <v>10245.390091703597</v>
      </c>
      <c r="G43" s="4">
        <f>IF(A43&lt;=APP!$D$11*12,F43*APP!$D$6,"")</f>
        <v>61.472340550221581</v>
      </c>
    </row>
    <row r="44" spans="1:7" x14ac:dyDescent="0.3">
      <c r="A44" s="2">
        <f t="shared" si="0"/>
        <v>42</v>
      </c>
      <c r="B44" s="3">
        <f>IF(A44&lt;=APP!$D$11*12,EDATE(B43,1),"")</f>
        <v>47570</v>
      </c>
      <c r="C44" s="4">
        <f>IF(A44&lt;=APP!$D$11*12,APP!$D$10,"")</f>
        <v>200</v>
      </c>
      <c r="D44" s="4">
        <f>IF(A44&lt;=APP!$D$11*12,F43,"")</f>
        <v>10245.390091703597</v>
      </c>
      <c r="E44" s="4">
        <f>IF(A44&lt;=APP!$D$11*12,D44*APP!$D$12,"")</f>
        <v>110.5477590894818</v>
      </c>
      <c r="F44" s="4">
        <f>IF(A44&lt;=APP!$D$11*12,D44+E44+C44,"")</f>
        <v>10555.93785079308</v>
      </c>
      <c r="G44" s="4">
        <f>IF(A44&lt;=APP!$D$11*12,F44*APP!$D$6,"")</f>
        <v>63.33562710475848</v>
      </c>
    </row>
    <row r="45" spans="1:7" x14ac:dyDescent="0.3">
      <c r="A45" s="2">
        <f t="shared" si="0"/>
        <v>43</v>
      </c>
      <c r="B45" s="3">
        <f>IF(A45&lt;=APP!$D$11*12,EDATE(B44,1),"")</f>
        <v>47601</v>
      </c>
      <c r="C45" s="4">
        <f>IF(A45&lt;=APP!$D$11*12,APP!$D$10,"")</f>
        <v>200</v>
      </c>
      <c r="D45" s="4">
        <f>IF(A45&lt;=APP!$D$11*12,F44,"")</f>
        <v>10555.93785079308</v>
      </c>
      <c r="E45" s="4">
        <f>IF(A45&lt;=APP!$D$11*12,D45*APP!$D$12,"")</f>
        <v>113.89856941005732</v>
      </c>
      <c r="F45" s="4">
        <f>IF(A45&lt;=APP!$D$11*12,D45+E45+C45,"")</f>
        <v>10869.836420203137</v>
      </c>
      <c r="G45" s="4">
        <f>IF(A45&lt;=APP!$D$11*12,F45*APP!$D$6,"")</f>
        <v>65.219018521218828</v>
      </c>
    </row>
    <row r="46" spans="1:7" x14ac:dyDescent="0.3">
      <c r="A46" s="2">
        <f t="shared" si="0"/>
        <v>44</v>
      </c>
      <c r="B46" s="3">
        <f>IF(A46&lt;=APP!$D$11*12,EDATE(B45,1),"")</f>
        <v>47631</v>
      </c>
      <c r="C46" s="4">
        <f>IF(A46&lt;=APP!$D$11*12,APP!$D$10,"")</f>
        <v>200</v>
      </c>
      <c r="D46" s="4">
        <f>IF(A46&lt;=APP!$D$11*12,F45,"")</f>
        <v>10869.836420203137</v>
      </c>
      <c r="E46" s="4">
        <f>IF(A46&lt;=APP!$D$11*12,D46*APP!$D$12,"")</f>
        <v>117.28553497399184</v>
      </c>
      <c r="F46" s="4">
        <f>IF(A46&lt;=APP!$D$11*12,D46+E46+C46,"")</f>
        <v>11187.121955177128</v>
      </c>
      <c r="G46" s="4">
        <f>IF(A46&lt;=APP!$D$11*12,F46*APP!$D$6,"")</f>
        <v>67.122731731062771</v>
      </c>
    </row>
    <row r="47" spans="1:7" x14ac:dyDescent="0.3">
      <c r="A47" s="2">
        <f t="shared" si="0"/>
        <v>45</v>
      </c>
      <c r="B47" s="3">
        <f>IF(A47&lt;=APP!$D$11*12,EDATE(B46,1),"")</f>
        <v>47662</v>
      </c>
      <c r="C47" s="4">
        <f>IF(A47&lt;=APP!$D$11*12,APP!$D$10,"")</f>
        <v>200</v>
      </c>
      <c r="D47" s="4">
        <f>IF(A47&lt;=APP!$D$11*12,F46,"")</f>
        <v>11187.121955177128</v>
      </c>
      <c r="E47" s="4">
        <f>IF(A47&lt;=APP!$D$11*12,D47*APP!$D$12,"")</f>
        <v>120.7090458963612</v>
      </c>
      <c r="F47" s="4">
        <f>IF(A47&lt;=APP!$D$11*12,D47+E47+C47,"")</f>
        <v>11507.831001073489</v>
      </c>
      <c r="G47" s="4">
        <f>IF(A47&lt;=APP!$D$11*12,F47*APP!$D$6,"")</f>
        <v>69.046986006440932</v>
      </c>
    </row>
    <row r="48" spans="1:7" x14ac:dyDescent="0.3">
      <c r="A48" s="2">
        <f t="shared" si="0"/>
        <v>46</v>
      </c>
      <c r="B48" s="3">
        <f>IF(A48&lt;=APP!$D$11*12,EDATE(B47,1),"")</f>
        <v>47692</v>
      </c>
      <c r="C48" s="4">
        <f>IF(A48&lt;=APP!$D$11*12,APP!$D$10,"")</f>
        <v>200</v>
      </c>
      <c r="D48" s="4">
        <f>IF(A48&lt;=APP!$D$11*12,F47,"")</f>
        <v>11507.831001073489</v>
      </c>
      <c r="E48" s="4">
        <f>IF(A48&lt;=APP!$D$11*12,D48*APP!$D$12,"")</f>
        <v>124.16949650158294</v>
      </c>
      <c r="F48" s="4">
        <f>IF(A48&lt;=APP!$D$11*12,D48+E48+C48,"")</f>
        <v>11832.000497575073</v>
      </c>
      <c r="G48" s="4">
        <f>IF(A48&lt;=APP!$D$11*12,F48*APP!$D$6,"")</f>
        <v>70.992002985450441</v>
      </c>
    </row>
    <row r="49" spans="1:7" x14ac:dyDescent="0.3">
      <c r="A49" s="2">
        <f t="shared" si="0"/>
        <v>47</v>
      </c>
      <c r="B49" s="3">
        <f>IF(A49&lt;=APP!$D$11*12,EDATE(B48,1),"")</f>
        <v>47723</v>
      </c>
      <c r="C49" s="4">
        <f>IF(A49&lt;=APP!$D$11*12,APP!$D$10,"")</f>
        <v>200</v>
      </c>
      <c r="D49" s="4">
        <f>IF(A49&lt;=APP!$D$11*12,F48,"")</f>
        <v>11832.000497575073</v>
      </c>
      <c r="E49" s="4">
        <f>IF(A49&lt;=APP!$D$11*12,D49*APP!$D$12,"")</f>
        <v>127.66728536883502</v>
      </c>
      <c r="F49" s="4">
        <f>IF(A49&lt;=APP!$D$11*12,D49+E49+C49,"")</f>
        <v>12159.667782943907</v>
      </c>
      <c r="G49" s="4">
        <f>IF(A49&lt;=APP!$D$11*12,F49*APP!$D$6,"")</f>
        <v>72.958006697663436</v>
      </c>
    </row>
    <row r="50" spans="1:7" x14ac:dyDescent="0.3">
      <c r="A50" s="2">
        <f t="shared" si="0"/>
        <v>48</v>
      </c>
      <c r="B50" s="3">
        <f>IF(A50&lt;=APP!$D$11*12,EDATE(B49,1),"")</f>
        <v>47754</v>
      </c>
      <c r="C50" s="4">
        <f>IF(A50&lt;=APP!$D$11*12,APP!$D$10,"")</f>
        <v>200</v>
      </c>
      <c r="D50" s="4">
        <f>IF(A50&lt;=APP!$D$11*12,F49,"")</f>
        <v>12159.667782943907</v>
      </c>
      <c r="E50" s="4">
        <f>IF(A50&lt;=APP!$D$11*12,D50*APP!$D$12,"")</f>
        <v>131.20281537796475</v>
      </c>
      <c r="F50" s="4">
        <f>IF(A50&lt;=APP!$D$11*12,D50+E50+C50,"")</f>
        <v>12490.870598321872</v>
      </c>
      <c r="G50" s="4">
        <f>IF(A50&lt;=APP!$D$11*12,F50*APP!$D$6,"")</f>
        <v>74.945223589931231</v>
      </c>
    </row>
    <row r="51" spans="1:7" x14ac:dyDescent="0.3">
      <c r="A51" s="2">
        <f t="shared" si="0"/>
        <v>49</v>
      </c>
      <c r="B51" s="3">
        <f>IF(A51&lt;=APP!$D$11*12,EDATE(B50,1),"")</f>
        <v>47784</v>
      </c>
      <c r="C51" s="4">
        <f>IF(A51&lt;=APP!$D$11*12,APP!$D$10,"")</f>
        <v>200</v>
      </c>
      <c r="D51" s="4">
        <f>IF(A51&lt;=APP!$D$11*12,F50,"")</f>
        <v>12490.870598321872</v>
      </c>
      <c r="E51" s="4">
        <f>IF(A51&lt;=APP!$D$11*12,D51*APP!$D$12,"")</f>
        <v>134.77649375589297</v>
      </c>
      <c r="F51" s="4">
        <f>IF(A51&lt;=APP!$D$11*12,D51+E51+C51,"")</f>
        <v>12825.647092077765</v>
      </c>
      <c r="G51" s="4">
        <f>IF(A51&lt;=APP!$D$11*12,F51*APP!$D$6,"")</f>
        <v>76.953882552466595</v>
      </c>
    </row>
    <row r="52" spans="1:7" x14ac:dyDescent="0.3">
      <c r="A52" s="2">
        <f t="shared" si="0"/>
        <v>50</v>
      </c>
      <c r="B52" s="3">
        <f>IF(A52&lt;=APP!$D$11*12,EDATE(B51,1),"")</f>
        <v>47815</v>
      </c>
      <c r="C52" s="4">
        <f>IF(A52&lt;=APP!$D$11*12,APP!$D$10,"")</f>
        <v>200</v>
      </c>
      <c r="D52" s="4">
        <f>IF(A52&lt;=APP!$D$11*12,F51,"")</f>
        <v>12825.647092077765</v>
      </c>
      <c r="E52" s="4">
        <f>IF(A52&lt;=APP!$D$11*12,D52*APP!$D$12,"")</f>
        <v>138.38873212351908</v>
      </c>
      <c r="F52" s="4">
        <f>IF(A52&lt;=APP!$D$11*12,D52+E52+C52,"")</f>
        <v>13164.035824201284</v>
      </c>
      <c r="G52" s="4">
        <f>IF(A52&lt;=APP!$D$11*12,F52*APP!$D$6,"")</f>
        <v>78.984214945207711</v>
      </c>
    </row>
    <row r="53" spans="1:7" x14ac:dyDescent="0.3">
      <c r="A53" s="2">
        <f t="shared" si="0"/>
        <v>51</v>
      </c>
      <c r="B53" s="3">
        <f>IF(A53&lt;=APP!$D$11*12,EDATE(B52,1),"")</f>
        <v>47845</v>
      </c>
      <c r="C53" s="4">
        <f>IF(A53&lt;=APP!$D$11*12,APP!$D$10,"")</f>
        <v>200</v>
      </c>
      <c r="D53" s="4">
        <f>IF(A53&lt;=APP!$D$11*12,F52,"")</f>
        <v>13164.035824201284</v>
      </c>
      <c r="E53" s="4">
        <f>IF(A53&lt;=APP!$D$11*12,D53*APP!$D$12,"")</f>
        <v>142.03994654313186</v>
      </c>
      <c r="F53" s="4">
        <f>IF(A53&lt;=APP!$D$11*12,D53+E53+C53,"")</f>
        <v>13506.075770744415</v>
      </c>
      <c r="G53" s="4">
        <f>IF(A53&lt;=APP!$D$11*12,F53*APP!$D$6,"")</f>
        <v>81.036454624466501</v>
      </c>
    </row>
    <row r="54" spans="1:7" x14ac:dyDescent="0.3">
      <c r="A54" s="2">
        <f t="shared" si="0"/>
        <v>52</v>
      </c>
      <c r="B54" s="3">
        <f>IF(A54&lt;=APP!$D$11*12,EDATE(B53,1),"")</f>
        <v>47876</v>
      </c>
      <c r="C54" s="4">
        <f>IF(A54&lt;=APP!$D$11*12,APP!$D$10,"")</f>
        <v>200</v>
      </c>
      <c r="D54" s="4">
        <f>IF(A54&lt;=APP!$D$11*12,F53,"")</f>
        <v>13506.075770744415</v>
      </c>
      <c r="E54" s="4">
        <f>IF(A54&lt;=APP!$D$11*12,D54*APP!$D$12,"")</f>
        <v>145.73055756633224</v>
      </c>
      <c r="F54" s="4">
        <f>IF(A54&lt;=APP!$D$11*12,D54+E54+C54,"")</f>
        <v>13851.806328310748</v>
      </c>
      <c r="G54" s="4">
        <f>IF(A54&lt;=APP!$D$11*12,F54*APP!$D$6,"")</f>
        <v>83.110837969864491</v>
      </c>
    </row>
    <row r="55" spans="1:7" x14ac:dyDescent="0.3">
      <c r="A55" s="2">
        <f t="shared" si="0"/>
        <v>53</v>
      </c>
      <c r="B55" s="3">
        <f>IF(A55&lt;=APP!$D$11*12,EDATE(B54,1),"")</f>
        <v>47907</v>
      </c>
      <c r="C55" s="4">
        <f>IF(A55&lt;=APP!$D$11*12,APP!$D$10,"")</f>
        <v>200</v>
      </c>
      <c r="D55" s="4">
        <f>IF(A55&lt;=APP!$D$11*12,F54,"")</f>
        <v>13851.806328310748</v>
      </c>
      <c r="E55" s="4">
        <f>IF(A55&lt;=APP!$D$11*12,D55*APP!$D$12,"")</f>
        <v>149.46099028247295</v>
      </c>
      <c r="F55" s="4">
        <f>IF(A55&lt;=APP!$D$11*12,D55+E55+C55,"")</f>
        <v>14201.26731859322</v>
      </c>
      <c r="G55" s="4">
        <f>IF(A55&lt;=APP!$D$11*12,F55*APP!$D$6,"")</f>
        <v>85.207603911559318</v>
      </c>
    </row>
    <row r="56" spans="1:7" x14ac:dyDescent="0.3">
      <c r="A56" s="2">
        <f t="shared" si="0"/>
        <v>54</v>
      </c>
      <c r="B56" s="3">
        <f>IF(A56&lt;=APP!$D$11*12,EDATE(B55,1),"")</f>
        <v>47935</v>
      </c>
      <c r="C56" s="4">
        <f>IF(A56&lt;=APP!$D$11*12,APP!$D$10,"")</f>
        <v>200</v>
      </c>
      <c r="D56" s="4">
        <f>IF(A56&lt;=APP!$D$11*12,F55,"")</f>
        <v>14201.26731859322</v>
      </c>
      <c r="E56" s="4">
        <f>IF(A56&lt;=APP!$D$11*12,D56*APP!$D$12,"")</f>
        <v>153.23167436762083</v>
      </c>
      <c r="F56" s="4">
        <f>IF(A56&lt;=APP!$D$11*12,D56+E56+C56,"")</f>
        <v>14554.49899296084</v>
      </c>
      <c r="G56" s="4">
        <f>IF(A56&lt;=APP!$D$11*12,F56*APP!$D$6,"")</f>
        <v>87.32699395776504</v>
      </c>
    </row>
    <row r="57" spans="1:7" x14ac:dyDescent="0.3">
      <c r="A57" s="2">
        <f t="shared" si="0"/>
        <v>55</v>
      </c>
      <c r="B57" s="3">
        <f>IF(A57&lt;=APP!$D$11*12,EDATE(B56,1),"")</f>
        <v>47966</v>
      </c>
      <c r="C57" s="4">
        <f>IF(A57&lt;=APP!$D$11*12,APP!$D$10,"")</f>
        <v>200</v>
      </c>
      <c r="D57" s="4">
        <f>IF(A57&lt;=APP!$D$11*12,F56,"")</f>
        <v>14554.49899296084</v>
      </c>
      <c r="E57" s="4">
        <f>IF(A57&lt;=APP!$D$11*12,D57*APP!$D$12,"")</f>
        <v>157.04304413404745</v>
      </c>
      <c r="F57" s="4">
        <f>IF(A57&lt;=APP!$D$11*12,D57+E57+C57,"")</f>
        <v>14911.542037094887</v>
      </c>
      <c r="G57" s="4">
        <f>IF(A57&lt;=APP!$D$11*12,F57*APP!$D$6,"")</f>
        <v>89.469252222569324</v>
      </c>
    </row>
    <row r="58" spans="1:7" x14ac:dyDescent="0.3">
      <c r="A58" s="2">
        <f t="shared" si="0"/>
        <v>56</v>
      </c>
      <c r="B58" s="3">
        <f>IF(A58&lt;=APP!$D$11*12,EDATE(B57,1),"")</f>
        <v>47996</v>
      </c>
      <c r="C58" s="4">
        <f>IF(A58&lt;=APP!$D$11*12,APP!$D$10,"")</f>
        <v>200</v>
      </c>
      <c r="D58" s="4">
        <f>IF(A58&lt;=APP!$D$11*12,F57,"")</f>
        <v>14911.542037094887</v>
      </c>
      <c r="E58" s="4">
        <f>IF(A58&lt;=APP!$D$11*12,D58*APP!$D$12,"")</f>
        <v>160.89553858025383</v>
      </c>
      <c r="F58" s="4">
        <f>IF(A58&lt;=APP!$D$11*12,D58+E58+C58,"")</f>
        <v>15272.437575675141</v>
      </c>
      <c r="G58" s="4">
        <f>IF(A58&lt;=APP!$D$11*12,F58*APP!$D$6,"")</f>
        <v>91.634625454050848</v>
      </c>
    </row>
    <row r="59" spans="1:7" x14ac:dyDescent="0.3">
      <c r="A59" s="2">
        <f t="shared" si="0"/>
        <v>57</v>
      </c>
      <c r="B59" s="3">
        <f>IF(A59&lt;=APP!$D$11*12,EDATE(B58,1),"")</f>
        <v>48027</v>
      </c>
      <c r="C59" s="4">
        <f>IF(A59&lt;=APP!$D$11*12,APP!$D$10,"")</f>
        <v>200</v>
      </c>
      <c r="D59" s="4">
        <f>IF(A59&lt;=APP!$D$11*12,F58,"")</f>
        <v>15272.437575675141</v>
      </c>
      <c r="E59" s="4">
        <f>IF(A59&lt;=APP!$D$11*12,D59*APP!$D$12,"")</f>
        <v>164.78960144153476</v>
      </c>
      <c r="F59" s="4">
        <f>IF(A59&lt;=APP!$D$11*12,D59+E59+C59,"")</f>
        <v>15637.227177116676</v>
      </c>
      <c r="G59" s="4">
        <f>IF(A59&lt;=APP!$D$11*12,F59*APP!$D$6,"")</f>
        <v>93.823363062700054</v>
      </c>
    </row>
    <row r="60" spans="1:7" x14ac:dyDescent="0.3">
      <c r="A60" s="2">
        <f t="shared" si="0"/>
        <v>58</v>
      </c>
      <c r="B60" s="3">
        <f>IF(A60&lt;=APP!$D$11*12,EDATE(B59,1),"")</f>
        <v>48057</v>
      </c>
      <c r="C60" s="4">
        <f>IF(A60&lt;=APP!$D$11*12,APP!$D$10,"")</f>
        <v>200</v>
      </c>
      <c r="D60" s="4">
        <f>IF(A60&lt;=APP!$D$11*12,F59,"")</f>
        <v>15637.227177116676</v>
      </c>
      <c r="E60" s="4">
        <f>IF(A60&lt;=APP!$D$11*12,D60*APP!$D$12,"")</f>
        <v>168.72568124108892</v>
      </c>
      <c r="F60" s="4">
        <f>IF(A60&lt;=APP!$D$11*12,D60+E60+C60,"")</f>
        <v>16005.952858357765</v>
      </c>
      <c r="G60" s="4">
        <f>IF(A60&lt;=APP!$D$11*12,F60*APP!$D$6,"")</f>
        <v>96.035717150146596</v>
      </c>
    </row>
    <row r="61" spans="1:7" x14ac:dyDescent="0.3">
      <c r="A61" s="2">
        <f t="shared" si="0"/>
        <v>59</v>
      </c>
      <c r="B61" s="3">
        <f>IF(A61&lt;=APP!$D$11*12,EDATE(B60,1),"")</f>
        <v>48088</v>
      </c>
      <c r="C61" s="4">
        <f>IF(A61&lt;=APP!$D$11*12,APP!$D$10,"")</f>
        <v>200</v>
      </c>
      <c r="D61" s="4">
        <f>IF(A61&lt;=APP!$D$11*12,F60,"")</f>
        <v>16005.952858357765</v>
      </c>
      <c r="E61" s="4">
        <f>IF(A61&lt;=APP!$D$11*12,D61*APP!$D$12,"")</f>
        <v>172.70423134168027</v>
      </c>
      <c r="F61" s="4">
        <f>IF(A61&lt;=APP!$D$11*12,D61+E61+C61,"")</f>
        <v>16378.657089699445</v>
      </c>
      <c r="G61" s="4">
        <f>IF(A61&lt;=APP!$D$11*12,F61*APP!$D$6,"")</f>
        <v>98.271942538196669</v>
      </c>
    </row>
    <row r="62" spans="1:7" x14ac:dyDescent="0.3">
      <c r="A62" s="2">
        <f t="shared" si="0"/>
        <v>60</v>
      </c>
      <c r="B62" s="3">
        <f>IF(A62&lt;=APP!$D$11*12,EDATE(B61,1),"")</f>
        <v>48119</v>
      </c>
      <c r="C62" s="4">
        <f>IF(A62&lt;=APP!$D$11*12,APP!$D$10,"")</f>
        <v>200</v>
      </c>
      <c r="D62" s="4">
        <f>IF(A62&lt;=APP!$D$11*12,F61,"")</f>
        <v>16378.657089699445</v>
      </c>
      <c r="E62" s="4">
        <f>IF(A62&lt;=APP!$D$11*12,D62*APP!$D$12,"")</f>
        <v>176.725709997857</v>
      </c>
      <c r="F62" s="4">
        <f>IF(A62&lt;=APP!$D$11*12,D62+E62+C62,"")</f>
        <v>16755.382799697301</v>
      </c>
      <c r="G62" s="4">
        <f>IF(A62&lt;=APP!$D$11*12,F62*APP!$D$6,"")</f>
        <v>100.53229679818381</v>
      </c>
    </row>
    <row r="63" spans="1:7" x14ac:dyDescent="0.3">
      <c r="A63" s="2">
        <f t="shared" si="0"/>
        <v>61</v>
      </c>
      <c r="B63" s="3" t="str">
        <f>IF(A63&lt;=APP!$D$11*12,EDATE(B62,1),"")</f>
        <v/>
      </c>
      <c r="C63" s="4" t="str">
        <f>IF(A63&lt;=APP!$D$11*12,APP!$D$10,"")</f>
        <v/>
      </c>
      <c r="D63" s="4" t="str">
        <f>IF(A63&lt;=APP!$D$11*12,F62,"")</f>
        <v/>
      </c>
      <c r="E63" s="4" t="str">
        <f>IF(A63&lt;=APP!$D$11*12,D63*APP!$D$12,"")</f>
        <v/>
      </c>
      <c r="F63" s="4" t="str">
        <f>IF(A63&lt;=APP!$D$11*12,D63+E63+C63,"")</f>
        <v/>
      </c>
      <c r="G63" s="4" t="str">
        <f>IF(A63&lt;=APP!$D$11*12,F63*APP!$D$6,"")</f>
        <v/>
      </c>
    </row>
    <row r="64" spans="1:7" x14ac:dyDescent="0.3">
      <c r="A64" s="2">
        <f t="shared" si="0"/>
        <v>62</v>
      </c>
      <c r="B64" s="3" t="str">
        <f>IF(A64&lt;=APP!$D$11*12,EDATE(B63,1),"")</f>
        <v/>
      </c>
      <c r="C64" s="4" t="str">
        <f>IF(A64&lt;=APP!$D$11*12,APP!$D$10,"")</f>
        <v/>
      </c>
      <c r="D64" s="4" t="str">
        <f>IF(A64&lt;=APP!$D$11*12,F63,"")</f>
        <v/>
      </c>
      <c r="E64" s="4" t="str">
        <f>IF(A64&lt;=APP!$D$11*12,D64*APP!$D$12,"")</f>
        <v/>
      </c>
      <c r="F64" s="4" t="str">
        <f>IF(A64&lt;=APP!$D$11*12,D64+E64+C64,"")</f>
        <v/>
      </c>
      <c r="G64" s="4" t="str">
        <f>IF(A64&lt;=APP!$D$11*12,F64*APP!$D$6,"")</f>
        <v/>
      </c>
    </row>
    <row r="65" spans="1:7" x14ac:dyDescent="0.3">
      <c r="A65" s="2">
        <f t="shared" si="0"/>
        <v>63</v>
      </c>
      <c r="B65" s="3" t="str">
        <f>IF(A65&lt;=APP!$D$11*12,EDATE(B64,1),"")</f>
        <v/>
      </c>
      <c r="C65" s="4" t="str">
        <f>IF(A65&lt;=APP!$D$11*12,APP!$D$10,"")</f>
        <v/>
      </c>
      <c r="D65" s="4" t="str">
        <f>IF(A65&lt;=APP!$D$11*12,F64,"")</f>
        <v/>
      </c>
      <c r="E65" s="4" t="str">
        <f>IF(A65&lt;=APP!$D$11*12,D65*APP!$D$12,"")</f>
        <v/>
      </c>
      <c r="F65" s="4" t="str">
        <f>IF(A65&lt;=APP!$D$11*12,D65+E65+C65,"")</f>
        <v/>
      </c>
      <c r="G65" s="4" t="str">
        <f>IF(A65&lt;=APP!$D$11*12,F65*APP!$D$6,"")</f>
        <v/>
      </c>
    </row>
    <row r="66" spans="1:7" x14ac:dyDescent="0.3">
      <c r="A66" s="2">
        <f t="shared" si="0"/>
        <v>64</v>
      </c>
      <c r="B66" s="3" t="str">
        <f>IF(A66&lt;=APP!$D$11*12,EDATE(B65,1),"")</f>
        <v/>
      </c>
      <c r="C66" s="4" t="str">
        <f>IF(A66&lt;=APP!$D$11*12,APP!$D$10,"")</f>
        <v/>
      </c>
      <c r="D66" s="4" t="str">
        <f>IF(A66&lt;=APP!$D$11*12,F65,"")</f>
        <v/>
      </c>
      <c r="E66" s="4" t="str">
        <f>IF(A66&lt;=APP!$D$11*12,D66*APP!$D$12,"")</f>
        <v/>
      </c>
      <c r="F66" s="4" t="str">
        <f>IF(A66&lt;=APP!$D$11*12,D66+E66+C66,"")</f>
        <v/>
      </c>
      <c r="G66" s="4" t="str">
        <f>IF(A66&lt;=APP!$D$11*12,F66*APP!$D$6,"")</f>
        <v/>
      </c>
    </row>
    <row r="67" spans="1:7" x14ac:dyDescent="0.3">
      <c r="A67" s="2">
        <f t="shared" si="0"/>
        <v>65</v>
      </c>
      <c r="B67" s="3" t="str">
        <f>IF(A67&lt;=APP!$D$11*12,EDATE(B66,1),"")</f>
        <v/>
      </c>
      <c r="C67" s="4" t="str">
        <f>IF(A67&lt;=APP!$D$11*12,APP!$D$10,"")</f>
        <v/>
      </c>
      <c r="D67" s="4" t="str">
        <f>IF(A67&lt;=APP!$D$11*12,F66,"")</f>
        <v/>
      </c>
      <c r="E67" s="4" t="str">
        <f>IF(A67&lt;=APP!$D$11*12,D67*APP!$D$12,"")</f>
        <v/>
      </c>
      <c r="F67" s="4" t="str">
        <f>IF(A67&lt;=APP!$D$11*12,D67+E67+C67,"")</f>
        <v/>
      </c>
      <c r="G67" s="4" t="str">
        <f>IF(A67&lt;=APP!$D$11*12,F67*APP!$D$6,"")</f>
        <v/>
      </c>
    </row>
    <row r="68" spans="1:7" x14ac:dyDescent="0.3">
      <c r="A68" s="2">
        <f t="shared" ref="A68:A131" si="1">A67+1</f>
        <v>66</v>
      </c>
      <c r="B68" s="3" t="str">
        <f>IF(A68&lt;=APP!$D$11*12,EDATE(B67,1),"")</f>
        <v/>
      </c>
      <c r="C68" s="4" t="str">
        <f>IF(A68&lt;=APP!$D$11*12,APP!$D$10,"")</f>
        <v/>
      </c>
      <c r="D68" s="4" t="str">
        <f>IF(A68&lt;=APP!$D$11*12,F67,"")</f>
        <v/>
      </c>
      <c r="E68" s="4" t="str">
        <f>IF(A68&lt;=APP!$D$11*12,D68*APP!$D$12,"")</f>
        <v/>
      </c>
      <c r="F68" s="4" t="str">
        <f>IF(A68&lt;=APP!$D$11*12,D68+E68+C68,"")</f>
        <v/>
      </c>
      <c r="G68" s="4" t="str">
        <f>IF(A68&lt;=APP!$D$11*12,F68*APP!$D$6,"")</f>
        <v/>
      </c>
    </row>
    <row r="69" spans="1:7" x14ac:dyDescent="0.3">
      <c r="A69" s="2">
        <f t="shared" si="1"/>
        <v>67</v>
      </c>
      <c r="B69" s="3" t="str">
        <f>IF(A69&lt;=APP!$D$11*12,EDATE(B68,1),"")</f>
        <v/>
      </c>
      <c r="C69" s="4" t="str">
        <f>IF(A69&lt;=APP!$D$11*12,APP!$D$10,"")</f>
        <v/>
      </c>
      <c r="D69" s="4" t="str">
        <f>IF(A69&lt;=APP!$D$11*12,F68,"")</f>
        <v/>
      </c>
      <c r="E69" s="4" t="str">
        <f>IF(A69&lt;=APP!$D$11*12,D69*APP!$D$12,"")</f>
        <v/>
      </c>
      <c r="F69" s="4" t="str">
        <f>IF(A69&lt;=APP!$D$11*12,D69+E69+C69,"")</f>
        <v/>
      </c>
      <c r="G69" s="4" t="str">
        <f>IF(A69&lt;=APP!$D$11*12,F69*APP!$D$6,"")</f>
        <v/>
      </c>
    </row>
    <row r="70" spans="1:7" x14ac:dyDescent="0.3">
      <c r="A70" s="2">
        <f t="shared" si="1"/>
        <v>68</v>
      </c>
      <c r="B70" s="3" t="str">
        <f>IF(A70&lt;=APP!$D$11*12,EDATE(B69,1),"")</f>
        <v/>
      </c>
      <c r="C70" s="4" t="str">
        <f>IF(A70&lt;=APP!$D$11*12,APP!$D$10,"")</f>
        <v/>
      </c>
      <c r="D70" s="4" t="str">
        <f>IF(A70&lt;=APP!$D$11*12,F69,"")</f>
        <v/>
      </c>
      <c r="E70" s="4" t="str">
        <f>IF(A70&lt;=APP!$D$11*12,D70*APP!$D$12,"")</f>
        <v/>
      </c>
      <c r="F70" s="4" t="str">
        <f>IF(A70&lt;=APP!$D$11*12,D70+E70+C70,"")</f>
        <v/>
      </c>
      <c r="G70" s="4" t="str">
        <f>IF(A70&lt;=APP!$D$11*12,F70*APP!$D$6,"")</f>
        <v/>
      </c>
    </row>
    <row r="71" spans="1:7" x14ac:dyDescent="0.3">
      <c r="A71" s="2">
        <f t="shared" si="1"/>
        <v>69</v>
      </c>
      <c r="B71" s="3" t="str">
        <f>IF(A71&lt;=APP!$D$11*12,EDATE(B70,1),"")</f>
        <v/>
      </c>
      <c r="C71" s="4" t="str">
        <f>IF(A71&lt;=APP!$D$11*12,APP!$D$10,"")</f>
        <v/>
      </c>
      <c r="D71" s="4" t="str">
        <f>IF(A71&lt;=APP!$D$11*12,F70,"")</f>
        <v/>
      </c>
      <c r="E71" s="4" t="str">
        <f>IF(A71&lt;=APP!$D$11*12,D71*APP!$D$12,"")</f>
        <v/>
      </c>
      <c r="F71" s="4" t="str">
        <f>IF(A71&lt;=APP!$D$11*12,D71+E71+C71,"")</f>
        <v/>
      </c>
      <c r="G71" s="4" t="str">
        <f>IF(A71&lt;=APP!$D$11*12,F71*APP!$D$6,"")</f>
        <v/>
      </c>
    </row>
    <row r="72" spans="1:7" x14ac:dyDescent="0.3">
      <c r="A72" s="2">
        <f t="shared" si="1"/>
        <v>70</v>
      </c>
      <c r="B72" s="3" t="str">
        <f>IF(A72&lt;=APP!$D$11*12,EDATE(B71,1),"")</f>
        <v/>
      </c>
      <c r="C72" s="4" t="str">
        <f>IF(A72&lt;=APP!$D$11*12,APP!$D$10,"")</f>
        <v/>
      </c>
      <c r="D72" s="4" t="str">
        <f>IF(A72&lt;=APP!$D$11*12,F71,"")</f>
        <v/>
      </c>
      <c r="E72" s="4" t="str">
        <f>IF(A72&lt;=APP!$D$11*12,D72*APP!$D$12,"")</f>
        <v/>
      </c>
      <c r="F72" s="4" t="str">
        <f>IF(A72&lt;=APP!$D$11*12,D72+E72+C72,"")</f>
        <v/>
      </c>
      <c r="G72" s="4" t="str">
        <f>IF(A72&lt;=APP!$D$11*12,F72*APP!$D$6,"")</f>
        <v/>
      </c>
    </row>
    <row r="73" spans="1:7" x14ac:dyDescent="0.3">
      <c r="A73" s="2">
        <f t="shared" si="1"/>
        <v>71</v>
      </c>
      <c r="B73" s="3" t="str">
        <f>IF(A73&lt;=APP!$D$11*12,EDATE(B72,1),"")</f>
        <v/>
      </c>
      <c r="C73" s="4" t="str">
        <f>IF(A73&lt;=APP!$D$11*12,APP!$D$10,"")</f>
        <v/>
      </c>
      <c r="D73" s="4" t="str">
        <f>IF(A73&lt;=APP!$D$11*12,F72,"")</f>
        <v/>
      </c>
      <c r="E73" s="4" t="str">
        <f>IF(A73&lt;=APP!$D$11*12,D73*APP!$D$12,"")</f>
        <v/>
      </c>
      <c r="F73" s="4" t="str">
        <f>IF(A73&lt;=APP!$D$11*12,D73+E73+C73,"")</f>
        <v/>
      </c>
      <c r="G73" s="4" t="str">
        <f>IF(A73&lt;=APP!$D$11*12,F73*APP!$D$6,"")</f>
        <v/>
      </c>
    </row>
    <row r="74" spans="1:7" x14ac:dyDescent="0.3">
      <c r="A74" s="2">
        <f t="shared" si="1"/>
        <v>72</v>
      </c>
      <c r="B74" s="3" t="str">
        <f>IF(A74&lt;=APP!$D$11*12,EDATE(B73,1),"")</f>
        <v/>
      </c>
      <c r="C74" s="4" t="str">
        <f>IF(A74&lt;=APP!$D$11*12,APP!$D$10,"")</f>
        <v/>
      </c>
      <c r="D74" s="4" t="str">
        <f>IF(A74&lt;=APP!$D$11*12,F73,"")</f>
        <v/>
      </c>
      <c r="E74" s="4" t="str">
        <f>IF(A74&lt;=APP!$D$11*12,D74*APP!$D$12,"")</f>
        <v/>
      </c>
      <c r="F74" s="4" t="str">
        <f>IF(A74&lt;=APP!$D$11*12,D74+E74+C74,"")</f>
        <v/>
      </c>
      <c r="G74" s="4" t="str">
        <f>IF(A74&lt;=APP!$D$11*12,F74*APP!$D$6,"")</f>
        <v/>
      </c>
    </row>
    <row r="75" spans="1:7" x14ac:dyDescent="0.3">
      <c r="A75" s="2">
        <f t="shared" si="1"/>
        <v>73</v>
      </c>
      <c r="B75" s="3" t="str">
        <f>IF(A75&lt;=APP!$D$11*12,EDATE(B74,1),"")</f>
        <v/>
      </c>
      <c r="C75" s="4" t="str">
        <f>IF(A75&lt;=APP!$D$11*12,APP!$D$10,"")</f>
        <v/>
      </c>
      <c r="D75" s="4" t="str">
        <f>IF(A75&lt;=APP!$D$11*12,F74,"")</f>
        <v/>
      </c>
      <c r="E75" s="4" t="str">
        <f>IF(A75&lt;=APP!$D$11*12,D75*APP!$D$12,"")</f>
        <v/>
      </c>
      <c r="F75" s="4" t="str">
        <f>IF(A75&lt;=APP!$D$11*12,D75+E75+C75,"")</f>
        <v/>
      </c>
      <c r="G75" s="4" t="str">
        <f>IF(A75&lt;=APP!$D$11*12,F75*APP!$D$6,"")</f>
        <v/>
      </c>
    </row>
    <row r="76" spans="1:7" x14ac:dyDescent="0.3">
      <c r="A76" s="2">
        <f t="shared" si="1"/>
        <v>74</v>
      </c>
      <c r="B76" s="3" t="str">
        <f>IF(A76&lt;=APP!$D$11*12,EDATE(B75,1),"")</f>
        <v/>
      </c>
      <c r="C76" s="4" t="str">
        <f>IF(A76&lt;=APP!$D$11*12,APP!$D$10,"")</f>
        <v/>
      </c>
      <c r="D76" s="4" t="str">
        <f>IF(A76&lt;=APP!$D$11*12,F75,"")</f>
        <v/>
      </c>
      <c r="E76" s="4" t="str">
        <f>IF(A76&lt;=APP!$D$11*12,D76*APP!$D$12,"")</f>
        <v/>
      </c>
      <c r="F76" s="4" t="str">
        <f>IF(A76&lt;=APP!$D$11*12,D76+E76+C76,"")</f>
        <v/>
      </c>
      <c r="G76" s="4" t="str">
        <f>IF(A76&lt;=APP!$D$11*12,F76*APP!$D$6,"")</f>
        <v/>
      </c>
    </row>
    <row r="77" spans="1:7" x14ac:dyDescent="0.3">
      <c r="A77" s="2">
        <f t="shared" si="1"/>
        <v>75</v>
      </c>
      <c r="B77" s="3" t="str">
        <f>IF(A77&lt;=APP!$D$11*12,EDATE(B76,1),"")</f>
        <v/>
      </c>
      <c r="C77" s="4" t="str">
        <f>IF(A77&lt;=APP!$D$11*12,APP!$D$10,"")</f>
        <v/>
      </c>
      <c r="D77" s="4" t="str">
        <f>IF(A77&lt;=APP!$D$11*12,F76,"")</f>
        <v/>
      </c>
      <c r="E77" s="4" t="str">
        <f>IF(A77&lt;=APP!$D$11*12,D77*APP!$D$12,"")</f>
        <v/>
      </c>
      <c r="F77" s="4" t="str">
        <f>IF(A77&lt;=APP!$D$11*12,D77+E77+C77,"")</f>
        <v/>
      </c>
      <c r="G77" s="4" t="str">
        <f>IF(A77&lt;=APP!$D$11*12,F77*APP!$D$6,"")</f>
        <v/>
      </c>
    </row>
    <row r="78" spans="1:7" x14ac:dyDescent="0.3">
      <c r="A78" s="2">
        <f t="shared" si="1"/>
        <v>76</v>
      </c>
      <c r="B78" s="3" t="str">
        <f>IF(A78&lt;=APP!$D$11*12,EDATE(B77,1),"")</f>
        <v/>
      </c>
      <c r="C78" s="4" t="str">
        <f>IF(A78&lt;=APP!$D$11*12,APP!$D$10,"")</f>
        <v/>
      </c>
      <c r="D78" s="4" t="str">
        <f>IF(A78&lt;=APP!$D$11*12,F77,"")</f>
        <v/>
      </c>
      <c r="E78" s="4" t="str">
        <f>IF(A78&lt;=APP!$D$11*12,D78*APP!$D$12,"")</f>
        <v/>
      </c>
      <c r="F78" s="4" t="str">
        <f>IF(A78&lt;=APP!$D$11*12,D78+E78+C78,"")</f>
        <v/>
      </c>
      <c r="G78" s="4" t="str">
        <f>IF(A78&lt;=APP!$D$11*12,F78*APP!$D$6,"")</f>
        <v/>
      </c>
    </row>
    <row r="79" spans="1:7" x14ac:dyDescent="0.3">
      <c r="A79" s="2">
        <f t="shared" si="1"/>
        <v>77</v>
      </c>
      <c r="B79" s="3" t="str">
        <f>IF(A79&lt;=APP!$D$11*12,EDATE(B78,1),"")</f>
        <v/>
      </c>
      <c r="C79" s="4" t="str">
        <f>IF(A79&lt;=APP!$D$11*12,APP!$D$10,"")</f>
        <v/>
      </c>
      <c r="D79" s="4" t="str">
        <f>IF(A79&lt;=APP!$D$11*12,F78,"")</f>
        <v/>
      </c>
      <c r="E79" s="4" t="str">
        <f>IF(A79&lt;=APP!$D$11*12,D79*APP!$D$12,"")</f>
        <v/>
      </c>
      <c r="F79" s="4" t="str">
        <f>IF(A79&lt;=APP!$D$11*12,D79+E79+C79,"")</f>
        <v/>
      </c>
      <c r="G79" s="4" t="str">
        <f>IF(A79&lt;=APP!$D$11*12,F79*APP!$D$6,"")</f>
        <v/>
      </c>
    </row>
    <row r="80" spans="1:7" x14ac:dyDescent="0.3">
      <c r="A80" s="2">
        <f t="shared" si="1"/>
        <v>78</v>
      </c>
      <c r="B80" s="3" t="str">
        <f>IF(A80&lt;=APP!$D$11*12,EDATE(B79,1),"")</f>
        <v/>
      </c>
      <c r="C80" s="4" t="str">
        <f>IF(A80&lt;=APP!$D$11*12,APP!$D$10,"")</f>
        <v/>
      </c>
      <c r="D80" s="4" t="str">
        <f>IF(A80&lt;=APP!$D$11*12,F79,"")</f>
        <v/>
      </c>
      <c r="E80" s="4" t="str">
        <f>IF(A80&lt;=APP!$D$11*12,D80*APP!$D$12,"")</f>
        <v/>
      </c>
      <c r="F80" s="4" t="str">
        <f>IF(A80&lt;=APP!$D$11*12,D80+E80+C80,"")</f>
        <v/>
      </c>
      <c r="G80" s="4" t="str">
        <f>IF(A80&lt;=APP!$D$11*12,F80*APP!$D$6,"")</f>
        <v/>
      </c>
    </row>
    <row r="81" spans="1:7" x14ac:dyDescent="0.3">
      <c r="A81" s="2">
        <f t="shared" si="1"/>
        <v>79</v>
      </c>
      <c r="B81" s="3" t="str">
        <f>IF(A81&lt;=APP!$D$11*12,EDATE(B80,1),"")</f>
        <v/>
      </c>
      <c r="C81" s="4" t="str">
        <f>IF(A81&lt;=APP!$D$11*12,APP!$D$10,"")</f>
        <v/>
      </c>
      <c r="D81" s="4" t="str">
        <f>IF(A81&lt;=APP!$D$11*12,F80,"")</f>
        <v/>
      </c>
      <c r="E81" s="4" t="str">
        <f>IF(A81&lt;=APP!$D$11*12,D81*APP!$D$12,"")</f>
        <v/>
      </c>
      <c r="F81" s="4" t="str">
        <f>IF(A81&lt;=APP!$D$11*12,D81+E81+C81,"")</f>
        <v/>
      </c>
      <c r="G81" s="4" t="str">
        <f>IF(A81&lt;=APP!$D$11*12,F81*APP!$D$6,"")</f>
        <v/>
      </c>
    </row>
    <row r="82" spans="1:7" x14ac:dyDescent="0.3">
      <c r="A82" s="2">
        <f t="shared" si="1"/>
        <v>80</v>
      </c>
      <c r="B82" s="3" t="str">
        <f>IF(A82&lt;=APP!$D$11*12,EDATE(B81,1),"")</f>
        <v/>
      </c>
      <c r="C82" s="4" t="str">
        <f>IF(A82&lt;=APP!$D$11*12,APP!$D$10,"")</f>
        <v/>
      </c>
      <c r="D82" s="4" t="str">
        <f>IF(A82&lt;=APP!$D$11*12,F81,"")</f>
        <v/>
      </c>
      <c r="E82" s="4" t="str">
        <f>IF(A82&lt;=APP!$D$11*12,D82*APP!$D$12,"")</f>
        <v/>
      </c>
      <c r="F82" s="4" t="str">
        <f>IF(A82&lt;=APP!$D$11*12,D82+E82+C82,"")</f>
        <v/>
      </c>
      <c r="G82" s="4" t="str">
        <f>IF(A82&lt;=APP!$D$11*12,F82*APP!$D$6,"")</f>
        <v/>
      </c>
    </row>
    <row r="83" spans="1:7" x14ac:dyDescent="0.3">
      <c r="A83" s="2">
        <f t="shared" si="1"/>
        <v>81</v>
      </c>
      <c r="B83" s="3" t="str">
        <f>IF(A83&lt;=APP!$D$11*12,EDATE(B82,1),"")</f>
        <v/>
      </c>
      <c r="C83" s="4" t="str">
        <f>IF(A83&lt;=APP!$D$11*12,APP!$D$10,"")</f>
        <v/>
      </c>
      <c r="D83" s="4" t="str">
        <f>IF(A83&lt;=APP!$D$11*12,F82,"")</f>
        <v/>
      </c>
      <c r="E83" s="4" t="str">
        <f>IF(A83&lt;=APP!$D$11*12,D83*APP!$D$12,"")</f>
        <v/>
      </c>
      <c r="F83" s="4" t="str">
        <f>IF(A83&lt;=APP!$D$11*12,D83+E83+C83,"")</f>
        <v/>
      </c>
      <c r="G83" s="4" t="str">
        <f>IF(A83&lt;=APP!$D$11*12,F83*APP!$D$6,"")</f>
        <v/>
      </c>
    </row>
    <row r="84" spans="1:7" x14ac:dyDescent="0.3">
      <c r="A84" s="2">
        <f t="shared" si="1"/>
        <v>82</v>
      </c>
      <c r="B84" s="3" t="str">
        <f>IF(A84&lt;=APP!$D$11*12,EDATE(B83,1),"")</f>
        <v/>
      </c>
      <c r="C84" s="4" t="str">
        <f>IF(A84&lt;=APP!$D$11*12,APP!$D$10,"")</f>
        <v/>
      </c>
      <c r="D84" s="4" t="str">
        <f>IF(A84&lt;=APP!$D$11*12,F83,"")</f>
        <v/>
      </c>
      <c r="E84" s="4" t="str">
        <f>IF(A84&lt;=APP!$D$11*12,D84*APP!$D$12,"")</f>
        <v/>
      </c>
      <c r="F84" s="4" t="str">
        <f>IF(A84&lt;=APP!$D$11*12,D84+E84+C84,"")</f>
        <v/>
      </c>
      <c r="G84" s="4" t="str">
        <f>IF(A84&lt;=APP!$D$11*12,F84*APP!$D$6,"")</f>
        <v/>
      </c>
    </row>
    <row r="85" spans="1:7" x14ac:dyDescent="0.3">
      <c r="A85" s="2">
        <f t="shared" si="1"/>
        <v>83</v>
      </c>
      <c r="B85" s="3" t="str">
        <f>IF(A85&lt;=APP!$D$11*12,EDATE(B84,1),"")</f>
        <v/>
      </c>
      <c r="C85" s="4" t="str">
        <f>IF(A85&lt;=APP!$D$11*12,APP!$D$10,"")</f>
        <v/>
      </c>
      <c r="D85" s="4" t="str">
        <f>IF(A85&lt;=APP!$D$11*12,F84,"")</f>
        <v/>
      </c>
      <c r="E85" s="4" t="str">
        <f>IF(A85&lt;=APP!$D$11*12,D85*APP!$D$12,"")</f>
        <v/>
      </c>
      <c r="F85" s="4" t="str">
        <f>IF(A85&lt;=APP!$D$11*12,D85+E85+C85,"")</f>
        <v/>
      </c>
      <c r="G85" s="4" t="str">
        <f>IF(A85&lt;=APP!$D$11*12,F85*APP!$D$6,"")</f>
        <v/>
      </c>
    </row>
    <row r="86" spans="1:7" x14ac:dyDescent="0.3">
      <c r="A86" s="2">
        <f t="shared" si="1"/>
        <v>84</v>
      </c>
      <c r="B86" s="3" t="str">
        <f>IF(A86&lt;=APP!$D$11*12,EDATE(B85,1),"")</f>
        <v/>
      </c>
      <c r="C86" s="4" t="str">
        <f>IF(A86&lt;=APP!$D$11*12,APP!$D$10,"")</f>
        <v/>
      </c>
      <c r="D86" s="4" t="str">
        <f>IF(A86&lt;=APP!$D$11*12,F85,"")</f>
        <v/>
      </c>
      <c r="E86" s="4" t="str">
        <f>IF(A86&lt;=APP!$D$11*12,D86*APP!$D$12,"")</f>
        <v/>
      </c>
      <c r="F86" s="4" t="str">
        <f>IF(A86&lt;=APP!$D$11*12,D86+E86+C86,"")</f>
        <v/>
      </c>
      <c r="G86" s="4" t="str">
        <f>IF(A86&lt;=APP!$D$11*12,F86*APP!$D$6,"")</f>
        <v/>
      </c>
    </row>
    <row r="87" spans="1:7" x14ac:dyDescent="0.3">
      <c r="A87" s="2">
        <f t="shared" si="1"/>
        <v>85</v>
      </c>
      <c r="B87" s="3" t="str">
        <f>IF(A87&lt;=APP!$D$11*12,EDATE(B86,1),"")</f>
        <v/>
      </c>
      <c r="C87" s="4" t="str">
        <f>IF(A87&lt;=APP!$D$11*12,APP!$D$10,"")</f>
        <v/>
      </c>
      <c r="D87" s="4" t="str">
        <f>IF(A87&lt;=APP!$D$11*12,F86,"")</f>
        <v/>
      </c>
      <c r="E87" s="4" t="str">
        <f>IF(A87&lt;=APP!$D$11*12,D87*APP!$D$12,"")</f>
        <v/>
      </c>
      <c r="F87" s="4" t="str">
        <f>IF(A87&lt;=APP!$D$11*12,D87+E87+C87,"")</f>
        <v/>
      </c>
      <c r="G87" s="4" t="str">
        <f>IF(A87&lt;=APP!$D$11*12,F87*APP!$D$6,"")</f>
        <v/>
      </c>
    </row>
    <row r="88" spans="1:7" x14ac:dyDescent="0.3">
      <c r="A88" s="2">
        <f t="shared" si="1"/>
        <v>86</v>
      </c>
      <c r="B88" s="3" t="str">
        <f>IF(A88&lt;=APP!$D$11*12,EDATE(B87,1),"")</f>
        <v/>
      </c>
      <c r="C88" s="4" t="str">
        <f>IF(A88&lt;=APP!$D$11*12,APP!$D$10,"")</f>
        <v/>
      </c>
      <c r="D88" s="4" t="str">
        <f>IF(A88&lt;=APP!$D$11*12,F87,"")</f>
        <v/>
      </c>
      <c r="E88" s="4" t="str">
        <f>IF(A88&lt;=APP!$D$11*12,D88*APP!$D$12,"")</f>
        <v/>
      </c>
      <c r="F88" s="4" t="str">
        <f>IF(A88&lt;=APP!$D$11*12,D88+E88+C88,"")</f>
        <v/>
      </c>
      <c r="G88" s="4" t="str">
        <f>IF(A88&lt;=APP!$D$11*12,F88*APP!$D$6,"")</f>
        <v/>
      </c>
    </row>
    <row r="89" spans="1:7" x14ac:dyDescent="0.3">
      <c r="A89" s="2">
        <f t="shared" si="1"/>
        <v>87</v>
      </c>
      <c r="B89" s="3" t="str">
        <f>IF(A89&lt;=APP!$D$11*12,EDATE(B88,1),"")</f>
        <v/>
      </c>
      <c r="C89" s="4" t="str">
        <f>IF(A89&lt;=APP!$D$11*12,APP!$D$10,"")</f>
        <v/>
      </c>
      <c r="D89" s="4" t="str">
        <f>IF(A89&lt;=APP!$D$11*12,F88,"")</f>
        <v/>
      </c>
      <c r="E89" s="4" t="str">
        <f>IF(A89&lt;=APP!$D$11*12,D89*APP!$D$12,"")</f>
        <v/>
      </c>
      <c r="F89" s="4" t="str">
        <f>IF(A89&lt;=APP!$D$11*12,D89+E89+C89,"")</f>
        <v/>
      </c>
      <c r="G89" s="4" t="str">
        <f>IF(A89&lt;=APP!$D$11*12,F89*APP!$D$6,"")</f>
        <v/>
      </c>
    </row>
    <row r="90" spans="1:7" x14ac:dyDescent="0.3">
      <c r="A90" s="2">
        <f t="shared" si="1"/>
        <v>88</v>
      </c>
      <c r="B90" s="3" t="str">
        <f>IF(A90&lt;=APP!$D$11*12,EDATE(B89,1),"")</f>
        <v/>
      </c>
      <c r="C90" s="4" t="str">
        <f>IF(A90&lt;=APP!$D$11*12,APP!$D$10,"")</f>
        <v/>
      </c>
      <c r="D90" s="4" t="str">
        <f>IF(A90&lt;=APP!$D$11*12,F89,"")</f>
        <v/>
      </c>
      <c r="E90" s="4" t="str">
        <f>IF(A90&lt;=APP!$D$11*12,D90*APP!$D$12,"")</f>
        <v/>
      </c>
      <c r="F90" s="4" t="str">
        <f>IF(A90&lt;=APP!$D$11*12,D90+E90+C90,"")</f>
        <v/>
      </c>
      <c r="G90" s="4" t="str">
        <f>IF(A90&lt;=APP!$D$11*12,F90*APP!$D$6,"")</f>
        <v/>
      </c>
    </row>
    <row r="91" spans="1:7" x14ac:dyDescent="0.3">
      <c r="A91" s="2">
        <f t="shared" si="1"/>
        <v>89</v>
      </c>
      <c r="B91" s="3" t="str">
        <f>IF(A91&lt;=APP!$D$11*12,EDATE(B90,1),"")</f>
        <v/>
      </c>
      <c r="C91" s="4" t="str">
        <f>IF(A91&lt;=APP!$D$11*12,APP!$D$10,"")</f>
        <v/>
      </c>
      <c r="D91" s="4" t="str">
        <f>IF(A91&lt;=APP!$D$11*12,F90,"")</f>
        <v/>
      </c>
      <c r="E91" s="4" t="str">
        <f>IF(A91&lt;=APP!$D$11*12,D91*APP!$D$12,"")</f>
        <v/>
      </c>
      <c r="F91" s="4" t="str">
        <f>IF(A91&lt;=APP!$D$11*12,D91+E91+C91,"")</f>
        <v/>
      </c>
      <c r="G91" s="4" t="str">
        <f>IF(A91&lt;=APP!$D$11*12,F91*APP!$D$6,"")</f>
        <v/>
      </c>
    </row>
    <row r="92" spans="1:7" x14ac:dyDescent="0.3">
      <c r="A92" s="2">
        <f t="shared" si="1"/>
        <v>90</v>
      </c>
      <c r="B92" s="3" t="str">
        <f>IF(A92&lt;=APP!$D$11*12,EDATE(B91,1),"")</f>
        <v/>
      </c>
      <c r="C92" s="4" t="str">
        <f>IF(A92&lt;=APP!$D$11*12,APP!$D$10,"")</f>
        <v/>
      </c>
      <c r="D92" s="4" t="str">
        <f>IF(A92&lt;=APP!$D$11*12,F91,"")</f>
        <v/>
      </c>
      <c r="E92" s="4" t="str">
        <f>IF(A92&lt;=APP!$D$11*12,D92*APP!$D$12,"")</f>
        <v/>
      </c>
      <c r="F92" s="4" t="str">
        <f>IF(A92&lt;=APP!$D$11*12,D92+E92+C92,"")</f>
        <v/>
      </c>
      <c r="G92" s="4" t="str">
        <f>IF(A92&lt;=APP!$D$11*12,F92*APP!$D$6,"")</f>
        <v/>
      </c>
    </row>
    <row r="93" spans="1:7" x14ac:dyDescent="0.3">
      <c r="A93" s="2">
        <f t="shared" si="1"/>
        <v>91</v>
      </c>
      <c r="B93" s="3" t="str">
        <f>IF(A93&lt;=APP!$D$11*12,EDATE(B92,1),"")</f>
        <v/>
      </c>
      <c r="C93" s="4" t="str">
        <f>IF(A93&lt;=APP!$D$11*12,APP!$D$10,"")</f>
        <v/>
      </c>
      <c r="D93" s="4" t="str">
        <f>IF(A93&lt;=APP!$D$11*12,F92,"")</f>
        <v/>
      </c>
      <c r="E93" s="4" t="str">
        <f>IF(A93&lt;=APP!$D$11*12,D93*APP!$D$12,"")</f>
        <v/>
      </c>
      <c r="F93" s="4" t="str">
        <f>IF(A93&lt;=APP!$D$11*12,D93+E93+C93,"")</f>
        <v/>
      </c>
      <c r="G93" s="4" t="str">
        <f>IF(A93&lt;=APP!$D$11*12,F93*APP!$D$6,"")</f>
        <v/>
      </c>
    </row>
    <row r="94" spans="1:7" x14ac:dyDescent="0.3">
      <c r="A94" s="2">
        <f t="shared" si="1"/>
        <v>92</v>
      </c>
      <c r="B94" s="3" t="str">
        <f>IF(A94&lt;=APP!$D$11*12,EDATE(B93,1),"")</f>
        <v/>
      </c>
      <c r="C94" s="4" t="str">
        <f>IF(A94&lt;=APP!$D$11*12,APP!$D$10,"")</f>
        <v/>
      </c>
      <c r="D94" s="4" t="str">
        <f>IF(A94&lt;=APP!$D$11*12,F93,"")</f>
        <v/>
      </c>
      <c r="E94" s="4" t="str">
        <f>IF(A94&lt;=APP!$D$11*12,D94*APP!$D$12,"")</f>
        <v/>
      </c>
      <c r="F94" s="4" t="str">
        <f>IF(A94&lt;=APP!$D$11*12,D94+E94+C94,"")</f>
        <v/>
      </c>
      <c r="G94" s="4" t="str">
        <f>IF(A94&lt;=APP!$D$11*12,F94*APP!$D$6,"")</f>
        <v/>
      </c>
    </row>
    <row r="95" spans="1:7" x14ac:dyDescent="0.3">
      <c r="A95" s="2">
        <f t="shared" si="1"/>
        <v>93</v>
      </c>
      <c r="B95" s="3" t="str">
        <f>IF(A95&lt;=APP!$D$11*12,EDATE(B94,1),"")</f>
        <v/>
      </c>
      <c r="C95" s="4" t="str">
        <f>IF(A95&lt;=APP!$D$11*12,APP!$D$10,"")</f>
        <v/>
      </c>
      <c r="D95" s="4" t="str">
        <f>IF(A95&lt;=APP!$D$11*12,F94,"")</f>
        <v/>
      </c>
      <c r="E95" s="4" t="str">
        <f>IF(A95&lt;=APP!$D$11*12,D95*APP!$D$12,"")</f>
        <v/>
      </c>
      <c r="F95" s="4" t="str">
        <f>IF(A95&lt;=APP!$D$11*12,D95+E95+C95,"")</f>
        <v/>
      </c>
      <c r="G95" s="4" t="str">
        <f>IF(A95&lt;=APP!$D$11*12,F95*APP!$D$6,"")</f>
        <v/>
      </c>
    </row>
    <row r="96" spans="1:7" x14ac:dyDescent="0.3">
      <c r="A96" s="2">
        <f t="shared" si="1"/>
        <v>94</v>
      </c>
      <c r="B96" s="3" t="str">
        <f>IF(A96&lt;=APP!$D$11*12,EDATE(B95,1),"")</f>
        <v/>
      </c>
      <c r="C96" s="4" t="str">
        <f>IF(A96&lt;=APP!$D$11*12,APP!$D$10,"")</f>
        <v/>
      </c>
      <c r="D96" s="4" t="str">
        <f>IF(A96&lt;=APP!$D$11*12,F95,"")</f>
        <v/>
      </c>
      <c r="E96" s="4" t="str">
        <f>IF(A96&lt;=APP!$D$11*12,D96*APP!$D$12,"")</f>
        <v/>
      </c>
      <c r="F96" s="4" t="str">
        <f>IF(A96&lt;=APP!$D$11*12,D96+E96+C96,"")</f>
        <v/>
      </c>
      <c r="G96" s="4" t="str">
        <f>IF(A96&lt;=APP!$D$11*12,F96*APP!$D$6,"")</f>
        <v/>
      </c>
    </row>
    <row r="97" spans="1:7" x14ac:dyDescent="0.3">
      <c r="A97" s="2">
        <f t="shared" si="1"/>
        <v>95</v>
      </c>
      <c r="B97" s="3" t="str">
        <f>IF(A97&lt;=APP!$D$11*12,EDATE(B96,1),"")</f>
        <v/>
      </c>
      <c r="C97" s="4" t="str">
        <f>IF(A97&lt;=APP!$D$11*12,APP!$D$10,"")</f>
        <v/>
      </c>
      <c r="D97" s="4" t="str">
        <f>IF(A97&lt;=APP!$D$11*12,F96,"")</f>
        <v/>
      </c>
      <c r="E97" s="4" t="str">
        <f>IF(A97&lt;=APP!$D$11*12,D97*APP!$D$12,"")</f>
        <v/>
      </c>
      <c r="F97" s="4" t="str">
        <f>IF(A97&lt;=APP!$D$11*12,D97+E97+C97,"")</f>
        <v/>
      </c>
      <c r="G97" s="4" t="str">
        <f>IF(A97&lt;=APP!$D$11*12,F97*APP!$D$6,"")</f>
        <v/>
      </c>
    </row>
    <row r="98" spans="1:7" x14ac:dyDescent="0.3">
      <c r="A98" s="2">
        <f t="shared" si="1"/>
        <v>96</v>
      </c>
      <c r="B98" s="3" t="str">
        <f>IF(A98&lt;=APP!$D$11*12,EDATE(B97,1),"")</f>
        <v/>
      </c>
      <c r="C98" s="4" t="str">
        <f>IF(A98&lt;=APP!$D$11*12,APP!$D$10,"")</f>
        <v/>
      </c>
      <c r="D98" s="4" t="str">
        <f>IF(A98&lt;=APP!$D$11*12,F97,"")</f>
        <v/>
      </c>
      <c r="E98" s="4" t="str">
        <f>IF(A98&lt;=APP!$D$11*12,D98*APP!$D$12,"")</f>
        <v/>
      </c>
      <c r="F98" s="4" t="str">
        <f>IF(A98&lt;=APP!$D$11*12,D98+E98+C98,"")</f>
        <v/>
      </c>
      <c r="G98" s="4" t="str">
        <f>IF(A98&lt;=APP!$D$11*12,F98*APP!$D$6,"")</f>
        <v/>
      </c>
    </row>
    <row r="99" spans="1:7" x14ac:dyDescent="0.3">
      <c r="A99" s="2">
        <f t="shared" si="1"/>
        <v>97</v>
      </c>
      <c r="B99" s="3" t="str">
        <f>IF(A99&lt;=APP!$D$11*12,EDATE(B98,1),"")</f>
        <v/>
      </c>
      <c r="C99" s="4" t="str">
        <f>IF(A99&lt;=APP!$D$11*12,APP!$D$10,"")</f>
        <v/>
      </c>
      <c r="D99" s="4" t="str">
        <f>IF(A99&lt;=APP!$D$11*12,F98,"")</f>
        <v/>
      </c>
      <c r="E99" s="4" t="str">
        <f>IF(A99&lt;=APP!$D$11*12,D99*APP!$D$12,"")</f>
        <v/>
      </c>
      <c r="F99" s="4" t="str">
        <f>IF(A99&lt;=APP!$D$11*12,D99+E99+C99,"")</f>
        <v/>
      </c>
      <c r="G99" s="4" t="str">
        <f>IF(A99&lt;=APP!$D$11*12,F99*APP!$D$6,"")</f>
        <v/>
      </c>
    </row>
    <row r="100" spans="1:7" x14ac:dyDescent="0.3">
      <c r="A100" s="2">
        <f t="shared" si="1"/>
        <v>98</v>
      </c>
      <c r="B100" s="3" t="str">
        <f>IF(A100&lt;=APP!$D$11*12,EDATE(B99,1),"")</f>
        <v/>
      </c>
      <c r="C100" s="4" t="str">
        <f>IF(A100&lt;=APP!$D$11*12,APP!$D$10,"")</f>
        <v/>
      </c>
      <c r="D100" s="4" t="str">
        <f>IF(A100&lt;=APP!$D$11*12,F99,"")</f>
        <v/>
      </c>
      <c r="E100" s="4" t="str">
        <f>IF(A100&lt;=APP!$D$11*12,D100*APP!$D$12,"")</f>
        <v/>
      </c>
      <c r="F100" s="4" t="str">
        <f>IF(A100&lt;=APP!$D$11*12,D100+E100+C100,"")</f>
        <v/>
      </c>
      <c r="G100" s="4" t="str">
        <f>IF(A100&lt;=APP!$D$11*12,F100*APP!$D$6,"")</f>
        <v/>
      </c>
    </row>
    <row r="101" spans="1:7" x14ac:dyDescent="0.3">
      <c r="A101" s="2">
        <f t="shared" si="1"/>
        <v>99</v>
      </c>
      <c r="B101" s="3" t="str">
        <f>IF(A101&lt;=APP!$D$11*12,EDATE(B100,1),"")</f>
        <v/>
      </c>
      <c r="C101" s="4" t="str">
        <f>IF(A101&lt;=APP!$D$11*12,APP!$D$10,"")</f>
        <v/>
      </c>
      <c r="D101" s="4" t="str">
        <f>IF(A101&lt;=APP!$D$11*12,F100,"")</f>
        <v/>
      </c>
      <c r="E101" s="4" t="str">
        <f>IF(A101&lt;=APP!$D$11*12,D101*APP!$D$12,"")</f>
        <v/>
      </c>
      <c r="F101" s="4" t="str">
        <f>IF(A101&lt;=APP!$D$11*12,D101+E101+C101,"")</f>
        <v/>
      </c>
      <c r="G101" s="4" t="str">
        <f>IF(A101&lt;=APP!$D$11*12,F101*APP!$D$6,"")</f>
        <v/>
      </c>
    </row>
    <row r="102" spans="1:7" x14ac:dyDescent="0.3">
      <c r="A102" s="2">
        <f t="shared" si="1"/>
        <v>100</v>
      </c>
      <c r="B102" s="3" t="str">
        <f>IF(A102&lt;=APP!$D$11*12,EDATE(B101,1),"")</f>
        <v/>
      </c>
      <c r="C102" s="4" t="str">
        <f>IF(A102&lt;=APP!$D$11*12,APP!$D$10,"")</f>
        <v/>
      </c>
      <c r="D102" s="4" t="str">
        <f>IF(A102&lt;=APP!$D$11*12,F101,"")</f>
        <v/>
      </c>
      <c r="E102" s="4" t="str">
        <f>IF(A102&lt;=APP!$D$11*12,D102*APP!$D$12,"")</f>
        <v/>
      </c>
      <c r="F102" s="4" t="str">
        <f>IF(A102&lt;=APP!$D$11*12,D102+E102+C102,"")</f>
        <v/>
      </c>
      <c r="G102" s="4" t="str">
        <f>IF(A102&lt;=APP!$D$11*12,F102*APP!$D$6,"")</f>
        <v/>
      </c>
    </row>
    <row r="103" spans="1:7" x14ac:dyDescent="0.3">
      <c r="A103" s="2">
        <f t="shared" si="1"/>
        <v>101</v>
      </c>
      <c r="B103" s="3" t="str">
        <f>IF(A103&lt;=APP!$D$11*12,EDATE(B102,1),"")</f>
        <v/>
      </c>
      <c r="C103" s="4" t="str">
        <f>IF(A103&lt;=APP!$D$11*12,APP!$D$10,"")</f>
        <v/>
      </c>
      <c r="D103" s="4" t="str">
        <f>IF(A103&lt;=APP!$D$11*12,F102,"")</f>
        <v/>
      </c>
      <c r="E103" s="4" t="str">
        <f>IF(A103&lt;=APP!$D$11*12,D103*APP!$D$12,"")</f>
        <v/>
      </c>
      <c r="F103" s="4" t="str">
        <f>IF(A103&lt;=APP!$D$11*12,D103+E103+C103,"")</f>
        <v/>
      </c>
      <c r="G103" s="4" t="str">
        <f>IF(A103&lt;=APP!$D$11*12,F103*APP!$D$6,"")</f>
        <v/>
      </c>
    </row>
    <row r="104" spans="1:7" x14ac:dyDescent="0.3">
      <c r="A104" s="2">
        <f t="shared" si="1"/>
        <v>102</v>
      </c>
      <c r="B104" s="3" t="str">
        <f>IF(A104&lt;=APP!$D$11*12,EDATE(B103,1),"")</f>
        <v/>
      </c>
      <c r="C104" s="4" t="str">
        <f>IF(A104&lt;=APP!$D$11*12,APP!$D$10,"")</f>
        <v/>
      </c>
      <c r="D104" s="4" t="str">
        <f>IF(A104&lt;=APP!$D$11*12,F103,"")</f>
        <v/>
      </c>
      <c r="E104" s="4" t="str">
        <f>IF(A104&lt;=APP!$D$11*12,D104*APP!$D$12,"")</f>
        <v/>
      </c>
      <c r="F104" s="4" t="str">
        <f>IF(A104&lt;=APP!$D$11*12,D104+E104+C104,"")</f>
        <v/>
      </c>
      <c r="G104" s="4" t="str">
        <f>IF(A104&lt;=APP!$D$11*12,F104*APP!$D$6,"")</f>
        <v/>
      </c>
    </row>
    <row r="105" spans="1:7" x14ac:dyDescent="0.3">
      <c r="A105" s="2">
        <f t="shared" si="1"/>
        <v>103</v>
      </c>
      <c r="B105" s="3" t="str">
        <f>IF(A105&lt;=APP!$D$11*12,EDATE(B104,1),"")</f>
        <v/>
      </c>
      <c r="C105" s="4" t="str">
        <f>IF(A105&lt;=APP!$D$11*12,APP!$D$10,"")</f>
        <v/>
      </c>
      <c r="D105" s="4" t="str">
        <f>IF(A105&lt;=APP!$D$11*12,F104,"")</f>
        <v/>
      </c>
      <c r="E105" s="4" t="str">
        <f>IF(A105&lt;=APP!$D$11*12,D105*APP!$D$12,"")</f>
        <v/>
      </c>
      <c r="F105" s="4" t="str">
        <f>IF(A105&lt;=APP!$D$11*12,D105+E105+C105,"")</f>
        <v/>
      </c>
      <c r="G105" s="4" t="str">
        <f>IF(A105&lt;=APP!$D$11*12,F105*APP!$D$6,"")</f>
        <v/>
      </c>
    </row>
    <row r="106" spans="1:7" x14ac:dyDescent="0.3">
      <c r="A106" s="2">
        <f t="shared" si="1"/>
        <v>104</v>
      </c>
      <c r="B106" s="3" t="str">
        <f>IF(A106&lt;=APP!$D$11*12,EDATE(B105,1),"")</f>
        <v/>
      </c>
      <c r="C106" s="4" t="str">
        <f>IF(A106&lt;=APP!$D$11*12,APP!$D$10,"")</f>
        <v/>
      </c>
      <c r="D106" s="4" t="str">
        <f>IF(A106&lt;=APP!$D$11*12,F105,"")</f>
        <v/>
      </c>
      <c r="E106" s="4" t="str">
        <f>IF(A106&lt;=APP!$D$11*12,D106*APP!$D$12,"")</f>
        <v/>
      </c>
      <c r="F106" s="4" t="str">
        <f>IF(A106&lt;=APP!$D$11*12,D106+E106+C106,"")</f>
        <v/>
      </c>
      <c r="G106" s="4" t="str">
        <f>IF(A106&lt;=APP!$D$11*12,F106*APP!$D$6,"")</f>
        <v/>
      </c>
    </row>
    <row r="107" spans="1:7" x14ac:dyDescent="0.3">
      <c r="A107" s="2">
        <f t="shared" si="1"/>
        <v>105</v>
      </c>
      <c r="B107" s="3" t="str">
        <f>IF(A107&lt;=APP!$D$11*12,EDATE(B106,1),"")</f>
        <v/>
      </c>
      <c r="C107" s="4" t="str">
        <f>IF(A107&lt;=APP!$D$11*12,APP!$D$10,"")</f>
        <v/>
      </c>
      <c r="D107" s="4" t="str">
        <f>IF(A107&lt;=APP!$D$11*12,F106,"")</f>
        <v/>
      </c>
      <c r="E107" s="4" t="str">
        <f>IF(A107&lt;=APP!$D$11*12,D107*APP!$D$12,"")</f>
        <v/>
      </c>
      <c r="F107" s="4" t="str">
        <f>IF(A107&lt;=APP!$D$11*12,D107+E107+C107,"")</f>
        <v/>
      </c>
      <c r="G107" s="4" t="str">
        <f>IF(A107&lt;=APP!$D$11*12,F107*APP!$D$6,"")</f>
        <v/>
      </c>
    </row>
    <row r="108" spans="1:7" x14ac:dyDescent="0.3">
      <c r="A108" s="2">
        <f t="shared" si="1"/>
        <v>106</v>
      </c>
      <c r="B108" s="3" t="str">
        <f>IF(A108&lt;=APP!$D$11*12,EDATE(B107,1),"")</f>
        <v/>
      </c>
      <c r="C108" s="4" t="str">
        <f>IF(A108&lt;=APP!$D$11*12,APP!$D$10,"")</f>
        <v/>
      </c>
      <c r="D108" s="4" t="str">
        <f>IF(A108&lt;=APP!$D$11*12,F107,"")</f>
        <v/>
      </c>
      <c r="E108" s="4" t="str">
        <f>IF(A108&lt;=APP!$D$11*12,D108*APP!$D$12,"")</f>
        <v/>
      </c>
      <c r="F108" s="4" t="str">
        <f>IF(A108&lt;=APP!$D$11*12,D108+E108+C108,"")</f>
        <v/>
      </c>
      <c r="G108" s="4" t="str">
        <f>IF(A108&lt;=APP!$D$11*12,F108*APP!$D$6,"")</f>
        <v/>
      </c>
    </row>
    <row r="109" spans="1:7" x14ac:dyDescent="0.3">
      <c r="A109" s="2">
        <f t="shared" si="1"/>
        <v>107</v>
      </c>
      <c r="B109" s="3" t="str">
        <f>IF(A109&lt;=APP!$D$11*12,EDATE(B108,1),"")</f>
        <v/>
      </c>
      <c r="C109" s="4" t="str">
        <f>IF(A109&lt;=APP!$D$11*12,APP!$D$10,"")</f>
        <v/>
      </c>
      <c r="D109" s="4" t="str">
        <f>IF(A109&lt;=APP!$D$11*12,F108,"")</f>
        <v/>
      </c>
      <c r="E109" s="4" t="str">
        <f>IF(A109&lt;=APP!$D$11*12,D109*APP!$D$12,"")</f>
        <v/>
      </c>
      <c r="F109" s="4" t="str">
        <f>IF(A109&lt;=APP!$D$11*12,D109+E109+C109,"")</f>
        <v/>
      </c>
      <c r="G109" s="4" t="str">
        <f>IF(A109&lt;=APP!$D$11*12,F109*APP!$D$6,"")</f>
        <v/>
      </c>
    </row>
    <row r="110" spans="1:7" x14ac:dyDescent="0.3">
      <c r="A110" s="2">
        <f t="shared" si="1"/>
        <v>108</v>
      </c>
      <c r="B110" s="3" t="str">
        <f>IF(A110&lt;=APP!$D$11*12,EDATE(B109,1),"")</f>
        <v/>
      </c>
      <c r="C110" s="4" t="str">
        <f>IF(A110&lt;=APP!$D$11*12,APP!$D$10,"")</f>
        <v/>
      </c>
      <c r="D110" s="4" t="str">
        <f>IF(A110&lt;=APP!$D$11*12,F109,"")</f>
        <v/>
      </c>
      <c r="E110" s="4" t="str">
        <f>IF(A110&lt;=APP!$D$11*12,D110*APP!$D$12,"")</f>
        <v/>
      </c>
      <c r="F110" s="4" t="str">
        <f>IF(A110&lt;=APP!$D$11*12,D110+E110+C110,"")</f>
        <v/>
      </c>
      <c r="G110" s="4" t="str">
        <f>IF(A110&lt;=APP!$D$11*12,F110*APP!$D$6,"")</f>
        <v/>
      </c>
    </row>
    <row r="111" spans="1:7" x14ac:dyDescent="0.3">
      <c r="A111" s="2">
        <f t="shared" si="1"/>
        <v>109</v>
      </c>
      <c r="B111" s="3" t="str">
        <f>IF(A111&lt;=APP!$D$11*12,EDATE(B110,1),"")</f>
        <v/>
      </c>
      <c r="C111" s="4" t="str">
        <f>IF(A111&lt;=APP!$D$11*12,APP!$D$10,"")</f>
        <v/>
      </c>
      <c r="D111" s="4" t="str">
        <f>IF(A111&lt;=APP!$D$11*12,F110,"")</f>
        <v/>
      </c>
      <c r="E111" s="4" t="str">
        <f>IF(A111&lt;=APP!$D$11*12,D111*APP!$D$12,"")</f>
        <v/>
      </c>
      <c r="F111" s="4" t="str">
        <f>IF(A111&lt;=APP!$D$11*12,D111+E111+C111,"")</f>
        <v/>
      </c>
      <c r="G111" s="4" t="str">
        <f>IF(A111&lt;=APP!$D$11*12,F111*APP!$D$6,"")</f>
        <v/>
      </c>
    </row>
    <row r="112" spans="1:7" x14ac:dyDescent="0.3">
      <c r="A112" s="2">
        <f t="shared" si="1"/>
        <v>110</v>
      </c>
      <c r="B112" s="3" t="str">
        <f>IF(A112&lt;=APP!$D$11*12,EDATE(B111,1),"")</f>
        <v/>
      </c>
      <c r="C112" s="4" t="str">
        <f>IF(A112&lt;=APP!$D$11*12,APP!$D$10,"")</f>
        <v/>
      </c>
      <c r="D112" s="4" t="str">
        <f>IF(A112&lt;=APP!$D$11*12,F111,"")</f>
        <v/>
      </c>
      <c r="E112" s="4" t="str">
        <f>IF(A112&lt;=APP!$D$11*12,D112*APP!$D$12,"")</f>
        <v/>
      </c>
      <c r="F112" s="4" t="str">
        <f>IF(A112&lt;=APP!$D$11*12,D112+E112+C112,"")</f>
        <v/>
      </c>
      <c r="G112" s="4" t="str">
        <f>IF(A112&lt;=APP!$D$11*12,F112*APP!$D$6,"")</f>
        <v/>
      </c>
    </row>
    <row r="113" spans="1:7" x14ac:dyDescent="0.3">
      <c r="A113" s="2">
        <f t="shared" si="1"/>
        <v>111</v>
      </c>
      <c r="B113" s="3" t="str">
        <f>IF(A113&lt;=APP!$D$11*12,EDATE(B112,1),"")</f>
        <v/>
      </c>
      <c r="C113" s="4" t="str">
        <f>IF(A113&lt;=APP!$D$11*12,APP!$D$10,"")</f>
        <v/>
      </c>
      <c r="D113" s="4" t="str">
        <f>IF(A113&lt;=APP!$D$11*12,F112,"")</f>
        <v/>
      </c>
      <c r="E113" s="4" t="str">
        <f>IF(A113&lt;=APP!$D$11*12,D113*APP!$D$12,"")</f>
        <v/>
      </c>
      <c r="F113" s="4" t="str">
        <f>IF(A113&lt;=APP!$D$11*12,D113+E113+C113,"")</f>
        <v/>
      </c>
      <c r="G113" s="4" t="str">
        <f>IF(A113&lt;=APP!$D$11*12,F113*APP!$D$6,"")</f>
        <v/>
      </c>
    </row>
    <row r="114" spans="1:7" x14ac:dyDescent="0.3">
      <c r="A114" s="2">
        <f t="shared" si="1"/>
        <v>112</v>
      </c>
      <c r="B114" s="3" t="str">
        <f>IF(A114&lt;=APP!$D$11*12,EDATE(B113,1),"")</f>
        <v/>
      </c>
      <c r="C114" s="4" t="str">
        <f>IF(A114&lt;=APP!$D$11*12,APP!$D$10,"")</f>
        <v/>
      </c>
      <c r="D114" s="4" t="str">
        <f>IF(A114&lt;=APP!$D$11*12,F113,"")</f>
        <v/>
      </c>
      <c r="E114" s="4" t="str">
        <f>IF(A114&lt;=APP!$D$11*12,D114*APP!$D$12,"")</f>
        <v/>
      </c>
      <c r="F114" s="4" t="str">
        <f>IF(A114&lt;=APP!$D$11*12,D114+E114+C114,"")</f>
        <v/>
      </c>
      <c r="G114" s="4" t="str">
        <f>IF(A114&lt;=APP!$D$11*12,F114*APP!$D$6,"")</f>
        <v/>
      </c>
    </row>
    <row r="115" spans="1:7" x14ac:dyDescent="0.3">
      <c r="A115" s="2">
        <f t="shared" si="1"/>
        <v>113</v>
      </c>
      <c r="B115" s="3" t="str">
        <f>IF(A115&lt;=APP!$D$11*12,EDATE(B114,1),"")</f>
        <v/>
      </c>
      <c r="C115" s="4" t="str">
        <f>IF(A115&lt;=APP!$D$11*12,APP!$D$10,"")</f>
        <v/>
      </c>
      <c r="D115" s="4" t="str">
        <f>IF(A115&lt;=APP!$D$11*12,F114,"")</f>
        <v/>
      </c>
      <c r="E115" s="4" t="str">
        <f>IF(A115&lt;=APP!$D$11*12,D115*APP!$D$12,"")</f>
        <v/>
      </c>
      <c r="F115" s="4" t="str">
        <f>IF(A115&lt;=APP!$D$11*12,D115+E115+C115,"")</f>
        <v/>
      </c>
      <c r="G115" s="4" t="str">
        <f>IF(A115&lt;=APP!$D$11*12,F115*APP!$D$6,"")</f>
        <v/>
      </c>
    </row>
    <row r="116" spans="1:7" x14ac:dyDescent="0.3">
      <c r="A116" s="2">
        <f t="shared" si="1"/>
        <v>114</v>
      </c>
      <c r="B116" s="3" t="str">
        <f>IF(A116&lt;=APP!$D$11*12,EDATE(B115,1),"")</f>
        <v/>
      </c>
      <c r="C116" s="4" t="str">
        <f>IF(A116&lt;=APP!$D$11*12,APP!$D$10,"")</f>
        <v/>
      </c>
      <c r="D116" s="4" t="str">
        <f>IF(A116&lt;=APP!$D$11*12,F115,"")</f>
        <v/>
      </c>
      <c r="E116" s="4" t="str">
        <f>IF(A116&lt;=APP!$D$11*12,D116*APP!$D$12,"")</f>
        <v/>
      </c>
      <c r="F116" s="4" t="str">
        <f>IF(A116&lt;=APP!$D$11*12,D116+E116+C116,"")</f>
        <v/>
      </c>
      <c r="G116" s="4" t="str">
        <f>IF(A116&lt;=APP!$D$11*12,F116*APP!$D$6,"")</f>
        <v/>
      </c>
    </row>
    <row r="117" spans="1:7" x14ac:dyDescent="0.3">
      <c r="A117" s="2">
        <f t="shared" si="1"/>
        <v>115</v>
      </c>
      <c r="B117" s="3" t="str">
        <f>IF(A117&lt;=APP!$D$11*12,EDATE(B116,1),"")</f>
        <v/>
      </c>
      <c r="C117" s="4" t="str">
        <f>IF(A117&lt;=APP!$D$11*12,APP!$D$10,"")</f>
        <v/>
      </c>
      <c r="D117" s="4" t="str">
        <f>IF(A117&lt;=APP!$D$11*12,F116,"")</f>
        <v/>
      </c>
      <c r="E117" s="4" t="str">
        <f>IF(A117&lt;=APP!$D$11*12,D117*APP!$D$12,"")</f>
        <v/>
      </c>
      <c r="F117" s="4" t="str">
        <f>IF(A117&lt;=APP!$D$11*12,D117+E117+C117,"")</f>
        <v/>
      </c>
      <c r="G117" s="4" t="str">
        <f>IF(A117&lt;=APP!$D$11*12,F117*APP!$D$6,"")</f>
        <v/>
      </c>
    </row>
    <row r="118" spans="1:7" x14ac:dyDescent="0.3">
      <c r="A118" s="2">
        <f t="shared" si="1"/>
        <v>116</v>
      </c>
      <c r="B118" s="3" t="str">
        <f>IF(A118&lt;=APP!$D$11*12,EDATE(B117,1),"")</f>
        <v/>
      </c>
      <c r="C118" s="4" t="str">
        <f>IF(A118&lt;=APP!$D$11*12,APP!$D$10,"")</f>
        <v/>
      </c>
      <c r="D118" s="4" t="str">
        <f>IF(A118&lt;=APP!$D$11*12,F117,"")</f>
        <v/>
      </c>
      <c r="E118" s="4" t="str">
        <f>IF(A118&lt;=APP!$D$11*12,D118*APP!$D$12,"")</f>
        <v/>
      </c>
      <c r="F118" s="4" t="str">
        <f>IF(A118&lt;=APP!$D$11*12,D118+E118+C118,"")</f>
        <v/>
      </c>
      <c r="G118" s="4" t="str">
        <f>IF(A118&lt;=APP!$D$11*12,F118*APP!$D$6,"")</f>
        <v/>
      </c>
    </row>
    <row r="119" spans="1:7" x14ac:dyDescent="0.3">
      <c r="A119" s="2">
        <f t="shared" si="1"/>
        <v>117</v>
      </c>
      <c r="B119" s="3" t="str">
        <f>IF(A119&lt;=APP!$D$11*12,EDATE(B118,1),"")</f>
        <v/>
      </c>
      <c r="C119" s="4" t="str">
        <f>IF(A119&lt;=APP!$D$11*12,APP!$D$10,"")</f>
        <v/>
      </c>
      <c r="D119" s="4" t="str">
        <f>IF(A119&lt;=APP!$D$11*12,F118,"")</f>
        <v/>
      </c>
      <c r="E119" s="4" t="str">
        <f>IF(A119&lt;=APP!$D$11*12,D119*APP!$D$12,"")</f>
        <v/>
      </c>
      <c r="F119" s="4" t="str">
        <f>IF(A119&lt;=APP!$D$11*12,D119+E119+C119,"")</f>
        <v/>
      </c>
      <c r="G119" s="4" t="str">
        <f>IF(A119&lt;=APP!$D$11*12,F119*APP!$D$6,"")</f>
        <v/>
      </c>
    </row>
    <row r="120" spans="1:7" x14ac:dyDescent="0.3">
      <c r="A120" s="2">
        <f t="shared" si="1"/>
        <v>118</v>
      </c>
      <c r="B120" s="3" t="str">
        <f>IF(A120&lt;=APP!$D$11*12,EDATE(B119,1),"")</f>
        <v/>
      </c>
      <c r="C120" s="4" t="str">
        <f>IF(A120&lt;=APP!$D$11*12,APP!$D$10,"")</f>
        <v/>
      </c>
      <c r="D120" s="4" t="str">
        <f>IF(A120&lt;=APP!$D$11*12,F119,"")</f>
        <v/>
      </c>
      <c r="E120" s="4" t="str">
        <f>IF(A120&lt;=APP!$D$11*12,D120*APP!$D$12,"")</f>
        <v/>
      </c>
      <c r="F120" s="4" t="str">
        <f>IF(A120&lt;=APP!$D$11*12,D120+E120+C120,"")</f>
        <v/>
      </c>
      <c r="G120" s="4" t="str">
        <f>IF(A120&lt;=APP!$D$11*12,F120*APP!$D$6,"")</f>
        <v/>
      </c>
    </row>
    <row r="121" spans="1:7" x14ac:dyDescent="0.3">
      <c r="A121" s="2">
        <f t="shared" si="1"/>
        <v>119</v>
      </c>
      <c r="B121" s="3" t="str">
        <f>IF(A121&lt;=APP!$D$11*12,EDATE(B120,1),"")</f>
        <v/>
      </c>
      <c r="C121" s="4" t="str">
        <f>IF(A121&lt;=APP!$D$11*12,APP!$D$10,"")</f>
        <v/>
      </c>
      <c r="D121" s="4" t="str">
        <f>IF(A121&lt;=APP!$D$11*12,F120,"")</f>
        <v/>
      </c>
      <c r="E121" s="4" t="str">
        <f>IF(A121&lt;=APP!$D$11*12,D121*APP!$D$12,"")</f>
        <v/>
      </c>
      <c r="F121" s="4" t="str">
        <f>IF(A121&lt;=APP!$D$11*12,D121+E121+C121,"")</f>
        <v/>
      </c>
      <c r="G121" s="4" t="str">
        <f>IF(A121&lt;=APP!$D$11*12,F121*APP!$D$6,"")</f>
        <v/>
      </c>
    </row>
    <row r="122" spans="1:7" x14ac:dyDescent="0.3">
      <c r="A122" s="2">
        <f t="shared" si="1"/>
        <v>120</v>
      </c>
      <c r="B122" s="3" t="str">
        <f>IF(A122&lt;=APP!$D$11*12,EDATE(B121,1),"")</f>
        <v/>
      </c>
      <c r="C122" s="4" t="str">
        <f>IF(A122&lt;=APP!$D$11*12,APP!$D$10,"")</f>
        <v/>
      </c>
      <c r="D122" s="4" t="str">
        <f>IF(A122&lt;=APP!$D$11*12,F121,"")</f>
        <v/>
      </c>
      <c r="E122" s="4" t="str">
        <f>IF(A122&lt;=APP!$D$11*12,D122*APP!$D$12,"")</f>
        <v/>
      </c>
      <c r="F122" s="4" t="str">
        <f>IF(A122&lt;=APP!$D$11*12,D122+E122+C122,"")</f>
        <v/>
      </c>
      <c r="G122" s="4" t="str">
        <f>IF(A122&lt;=APP!$D$11*12,F122*APP!$D$6,"")</f>
        <v/>
      </c>
    </row>
    <row r="123" spans="1:7" x14ac:dyDescent="0.3">
      <c r="A123" s="2">
        <f t="shared" si="1"/>
        <v>121</v>
      </c>
      <c r="B123" s="3" t="str">
        <f>IF(A123&lt;=APP!$D$11*12,EDATE(B122,1),"")</f>
        <v/>
      </c>
      <c r="C123" s="4" t="str">
        <f>IF(A123&lt;=APP!$D$11*12,APP!$D$10,"")</f>
        <v/>
      </c>
      <c r="D123" s="4" t="str">
        <f>IF(A123&lt;=APP!$D$11*12,F122,"")</f>
        <v/>
      </c>
      <c r="E123" s="4" t="str">
        <f>IF(A123&lt;=APP!$D$11*12,D123*APP!$D$12,"")</f>
        <v/>
      </c>
      <c r="F123" s="4" t="str">
        <f>IF(A123&lt;=APP!$D$11*12,D123+E123+C123,"")</f>
        <v/>
      </c>
      <c r="G123" s="4" t="str">
        <f>IF(A123&lt;=APP!$D$11*12,F123*APP!$D$6,"")</f>
        <v/>
      </c>
    </row>
    <row r="124" spans="1:7" x14ac:dyDescent="0.3">
      <c r="A124" s="2">
        <f t="shared" si="1"/>
        <v>122</v>
      </c>
      <c r="B124" s="3" t="str">
        <f>IF(A124&lt;=APP!$D$11*12,EDATE(B123,1),"")</f>
        <v/>
      </c>
      <c r="C124" s="4" t="str">
        <f>IF(A124&lt;=APP!$D$11*12,APP!$D$10,"")</f>
        <v/>
      </c>
      <c r="D124" s="4" t="str">
        <f>IF(A124&lt;=APP!$D$11*12,F123,"")</f>
        <v/>
      </c>
      <c r="E124" s="4" t="str">
        <f>IF(A124&lt;=APP!$D$11*12,D124*APP!$D$12,"")</f>
        <v/>
      </c>
      <c r="F124" s="4" t="str">
        <f>IF(A124&lt;=APP!$D$11*12,D124+E124+C124,"")</f>
        <v/>
      </c>
      <c r="G124" s="4" t="str">
        <f>IF(A124&lt;=APP!$D$11*12,F124*APP!$D$6,"")</f>
        <v/>
      </c>
    </row>
    <row r="125" spans="1:7" x14ac:dyDescent="0.3">
      <c r="A125" s="2">
        <f t="shared" si="1"/>
        <v>123</v>
      </c>
      <c r="B125" s="3" t="str">
        <f>IF(A125&lt;=APP!$D$11*12,EDATE(B124,1),"")</f>
        <v/>
      </c>
      <c r="C125" s="4" t="str">
        <f>IF(A125&lt;=APP!$D$11*12,APP!$D$10,"")</f>
        <v/>
      </c>
      <c r="D125" s="4" t="str">
        <f>IF(A125&lt;=APP!$D$11*12,F124,"")</f>
        <v/>
      </c>
      <c r="E125" s="4" t="str">
        <f>IF(A125&lt;=APP!$D$11*12,D125*APP!$D$12,"")</f>
        <v/>
      </c>
      <c r="F125" s="4" t="str">
        <f>IF(A125&lt;=APP!$D$11*12,D125+E125+C125,"")</f>
        <v/>
      </c>
      <c r="G125" s="4" t="str">
        <f>IF(A125&lt;=APP!$D$11*12,F125*APP!$D$6,"")</f>
        <v/>
      </c>
    </row>
    <row r="126" spans="1:7" x14ac:dyDescent="0.3">
      <c r="A126" s="2">
        <f t="shared" si="1"/>
        <v>124</v>
      </c>
      <c r="B126" s="3" t="str">
        <f>IF(A126&lt;=APP!$D$11*12,EDATE(B125,1),"")</f>
        <v/>
      </c>
      <c r="C126" s="4" t="str">
        <f>IF(A126&lt;=APP!$D$11*12,APP!$D$10,"")</f>
        <v/>
      </c>
      <c r="D126" s="4" t="str">
        <f>IF(A126&lt;=APP!$D$11*12,F125,"")</f>
        <v/>
      </c>
      <c r="E126" s="4" t="str">
        <f>IF(A126&lt;=APP!$D$11*12,D126*APP!$D$12,"")</f>
        <v/>
      </c>
      <c r="F126" s="4" t="str">
        <f>IF(A126&lt;=APP!$D$11*12,D126+E126+C126,"")</f>
        <v/>
      </c>
      <c r="G126" s="4" t="str">
        <f>IF(A126&lt;=APP!$D$11*12,F126*APP!$D$6,"")</f>
        <v/>
      </c>
    </row>
    <row r="127" spans="1:7" x14ac:dyDescent="0.3">
      <c r="A127" s="2">
        <f t="shared" si="1"/>
        <v>125</v>
      </c>
      <c r="B127" s="3" t="str">
        <f>IF(A127&lt;=APP!$D$11*12,EDATE(B126,1),"")</f>
        <v/>
      </c>
      <c r="C127" s="4" t="str">
        <f>IF(A127&lt;=APP!$D$11*12,APP!$D$10,"")</f>
        <v/>
      </c>
      <c r="D127" s="4" t="str">
        <f>IF(A127&lt;=APP!$D$11*12,F126,"")</f>
        <v/>
      </c>
      <c r="E127" s="4" t="str">
        <f>IF(A127&lt;=APP!$D$11*12,D127*APP!$D$12,"")</f>
        <v/>
      </c>
      <c r="F127" s="4" t="str">
        <f>IF(A127&lt;=APP!$D$11*12,D127+E127+C127,"")</f>
        <v/>
      </c>
      <c r="G127" s="4" t="str">
        <f>IF(A127&lt;=APP!$D$11*12,F127*APP!$D$6,"")</f>
        <v/>
      </c>
    </row>
    <row r="128" spans="1:7" x14ac:dyDescent="0.3">
      <c r="A128" s="2">
        <f t="shared" si="1"/>
        <v>126</v>
      </c>
      <c r="B128" s="3" t="str">
        <f>IF(A128&lt;=APP!$D$11*12,EDATE(B127,1),"")</f>
        <v/>
      </c>
      <c r="C128" s="4" t="str">
        <f>IF(A128&lt;=APP!$D$11*12,APP!$D$10,"")</f>
        <v/>
      </c>
      <c r="D128" s="4" t="str">
        <f>IF(A128&lt;=APP!$D$11*12,F127,"")</f>
        <v/>
      </c>
      <c r="E128" s="4" t="str">
        <f>IF(A128&lt;=APP!$D$11*12,D128*APP!$D$12,"")</f>
        <v/>
      </c>
      <c r="F128" s="4" t="str">
        <f>IF(A128&lt;=APP!$D$11*12,D128+E128+C128,"")</f>
        <v/>
      </c>
      <c r="G128" s="4" t="str">
        <f>IF(A128&lt;=APP!$D$11*12,F128*APP!$D$6,"")</f>
        <v/>
      </c>
    </row>
    <row r="129" spans="1:7" x14ac:dyDescent="0.3">
      <c r="A129" s="2">
        <f t="shared" si="1"/>
        <v>127</v>
      </c>
      <c r="B129" s="3" t="str">
        <f>IF(A129&lt;=APP!$D$11*12,EDATE(B128,1),"")</f>
        <v/>
      </c>
      <c r="C129" s="4" t="str">
        <f>IF(A129&lt;=APP!$D$11*12,APP!$D$10,"")</f>
        <v/>
      </c>
      <c r="D129" s="4" t="str">
        <f>IF(A129&lt;=APP!$D$11*12,F128,"")</f>
        <v/>
      </c>
      <c r="E129" s="4" t="str">
        <f>IF(A129&lt;=APP!$D$11*12,D129*APP!$D$12,"")</f>
        <v/>
      </c>
      <c r="F129" s="4" t="str">
        <f>IF(A129&lt;=APP!$D$11*12,D129+E129+C129,"")</f>
        <v/>
      </c>
      <c r="G129" s="4" t="str">
        <f>IF(A129&lt;=APP!$D$11*12,F129*APP!$D$6,"")</f>
        <v/>
      </c>
    </row>
    <row r="130" spans="1:7" x14ac:dyDescent="0.3">
      <c r="A130" s="2">
        <f t="shared" si="1"/>
        <v>128</v>
      </c>
      <c r="B130" s="3" t="str">
        <f>IF(A130&lt;=APP!$D$11*12,EDATE(B129,1),"")</f>
        <v/>
      </c>
      <c r="C130" s="4" t="str">
        <f>IF(A130&lt;=APP!$D$11*12,APP!$D$10,"")</f>
        <v/>
      </c>
      <c r="D130" s="4" t="str">
        <f>IF(A130&lt;=APP!$D$11*12,F129,"")</f>
        <v/>
      </c>
      <c r="E130" s="4" t="str">
        <f>IF(A130&lt;=APP!$D$11*12,D130*APP!$D$12,"")</f>
        <v/>
      </c>
      <c r="F130" s="4" t="str">
        <f>IF(A130&lt;=APP!$D$11*12,D130+E130+C130,"")</f>
        <v/>
      </c>
      <c r="G130" s="4" t="str">
        <f>IF(A130&lt;=APP!$D$11*12,F130*APP!$D$6,"")</f>
        <v/>
      </c>
    </row>
    <row r="131" spans="1:7" x14ac:dyDescent="0.3">
      <c r="A131" s="2">
        <f t="shared" si="1"/>
        <v>129</v>
      </c>
      <c r="B131" s="3" t="str">
        <f>IF(A131&lt;=APP!$D$11*12,EDATE(B130,1),"")</f>
        <v/>
      </c>
      <c r="C131" s="4" t="str">
        <f>IF(A131&lt;=APP!$D$11*12,APP!$D$10,"")</f>
        <v/>
      </c>
      <c r="D131" s="4" t="str">
        <f>IF(A131&lt;=APP!$D$11*12,F130,"")</f>
        <v/>
      </c>
      <c r="E131" s="4" t="str">
        <f>IF(A131&lt;=APP!$D$11*12,D131*APP!$D$12,"")</f>
        <v/>
      </c>
      <c r="F131" s="4" t="str">
        <f>IF(A131&lt;=APP!$D$11*12,D131+E131+C131,"")</f>
        <v/>
      </c>
      <c r="G131" s="4" t="str">
        <f>IF(A131&lt;=APP!$D$11*12,F131*APP!$D$6,"")</f>
        <v/>
      </c>
    </row>
    <row r="132" spans="1:7" x14ac:dyDescent="0.3">
      <c r="A132" s="2">
        <f t="shared" ref="A132:A195" si="2">A131+1</f>
        <v>130</v>
      </c>
      <c r="B132" s="3" t="str">
        <f>IF(A132&lt;=APP!$D$11*12,EDATE(B131,1),"")</f>
        <v/>
      </c>
      <c r="C132" s="4" t="str">
        <f>IF(A132&lt;=APP!$D$11*12,APP!$D$10,"")</f>
        <v/>
      </c>
      <c r="D132" s="4" t="str">
        <f>IF(A132&lt;=APP!$D$11*12,F131,"")</f>
        <v/>
      </c>
      <c r="E132" s="4" t="str">
        <f>IF(A132&lt;=APP!$D$11*12,D132*APP!$D$12,"")</f>
        <v/>
      </c>
      <c r="F132" s="4" t="str">
        <f>IF(A132&lt;=APP!$D$11*12,D132+E132+C132,"")</f>
        <v/>
      </c>
      <c r="G132" s="4" t="str">
        <f>IF(A132&lt;=APP!$D$11*12,F132*APP!$D$6,"")</f>
        <v/>
      </c>
    </row>
    <row r="133" spans="1:7" x14ac:dyDescent="0.3">
      <c r="A133" s="2">
        <f t="shared" si="2"/>
        <v>131</v>
      </c>
      <c r="B133" s="3" t="str">
        <f>IF(A133&lt;=APP!$D$11*12,EDATE(B132,1),"")</f>
        <v/>
      </c>
      <c r="C133" s="4" t="str">
        <f>IF(A133&lt;=APP!$D$11*12,APP!$D$10,"")</f>
        <v/>
      </c>
      <c r="D133" s="4" t="str">
        <f>IF(A133&lt;=APP!$D$11*12,F132,"")</f>
        <v/>
      </c>
      <c r="E133" s="4" t="str">
        <f>IF(A133&lt;=APP!$D$11*12,D133*APP!$D$12,"")</f>
        <v/>
      </c>
      <c r="F133" s="4" t="str">
        <f>IF(A133&lt;=APP!$D$11*12,D133+E133+C133,"")</f>
        <v/>
      </c>
      <c r="G133" s="4" t="str">
        <f>IF(A133&lt;=APP!$D$11*12,F133*APP!$D$6,"")</f>
        <v/>
      </c>
    </row>
    <row r="134" spans="1:7" x14ac:dyDescent="0.3">
      <c r="A134" s="2">
        <f t="shared" si="2"/>
        <v>132</v>
      </c>
      <c r="B134" s="3" t="str">
        <f>IF(A134&lt;=APP!$D$11*12,EDATE(B133,1),"")</f>
        <v/>
      </c>
      <c r="C134" s="4" t="str">
        <f>IF(A134&lt;=APP!$D$11*12,APP!$D$10,"")</f>
        <v/>
      </c>
      <c r="D134" s="4" t="str">
        <f>IF(A134&lt;=APP!$D$11*12,F133,"")</f>
        <v/>
      </c>
      <c r="E134" s="4" t="str">
        <f>IF(A134&lt;=APP!$D$11*12,D134*APP!$D$12,"")</f>
        <v/>
      </c>
      <c r="F134" s="4" t="str">
        <f>IF(A134&lt;=APP!$D$11*12,D134+E134+C134,"")</f>
        <v/>
      </c>
      <c r="G134" s="4" t="str">
        <f>IF(A134&lt;=APP!$D$11*12,F134*APP!$D$6,"")</f>
        <v/>
      </c>
    </row>
    <row r="135" spans="1:7" x14ac:dyDescent="0.3">
      <c r="A135" s="2">
        <f t="shared" si="2"/>
        <v>133</v>
      </c>
      <c r="B135" s="3" t="str">
        <f>IF(A135&lt;=APP!$D$11*12,EDATE(B134,1),"")</f>
        <v/>
      </c>
      <c r="C135" s="4" t="str">
        <f>IF(A135&lt;=APP!$D$11*12,APP!$D$10,"")</f>
        <v/>
      </c>
      <c r="D135" s="4" t="str">
        <f>IF(A135&lt;=APP!$D$11*12,F134,"")</f>
        <v/>
      </c>
      <c r="E135" s="4" t="str">
        <f>IF(A135&lt;=APP!$D$11*12,D135*APP!$D$12,"")</f>
        <v/>
      </c>
      <c r="F135" s="4" t="str">
        <f>IF(A135&lt;=APP!$D$11*12,D135+E135+C135,"")</f>
        <v/>
      </c>
      <c r="G135" s="4" t="str">
        <f>IF(A135&lt;=APP!$D$11*12,F135*APP!$D$6,"")</f>
        <v/>
      </c>
    </row>
    <row r="136" spans="1:7" x14ac:dyDescent="0.3">
      <c r="A136" s="2">
        <f t="shared" si="2"/>
        <v>134</v>
      </c>
      <c r="B136" s="3" t="str">
        <f>IF(A136&lt;=APP!$D$11*12,EDATE(B135,1),"")</f>
        <v/>
      </c>
      <c r="C136" s="4" t="str">
        <f>IF(A136&lt;=APP!$D$11*12,APP!$D$10,"")</f>
        <v/>
      </c>
      <c r="D136" s="4" t="str">
        <f>IF(A136&lt;=APP!$D$11*12,F135,"")</f>
        <v/>
      </c>
      <c r="E136" s="4" t="str">
        <f>IF(A136&lt;=APP!$D$11*12,D136*APP!$D$12,"")</f>
        <v/>
      </c>
      <c r="F136" s="4" t="str">
        <f>IF(A136&lt;=APP!$D$11*12,D136+E136+C136,"")</f>
        <v/>
      </c>
      <c r="G136" s="4" t="str">
        <f>IF(A136&lt;=APP!$D$11*12,F136*APP!$D$6,"")</f>
        <v/>
      </c>
    </row>
    <row r="137" spans="1:7" x14ac:dyDescent="0.3">
      <c r="A137" s="2">
        <f t="shared" si="2"/>
        <v>135</v>
      </c>
      <c r="B137" s="3" t="str">
        <f>IF(A137&lt;=APP!$D$11*12,EDATE(B136,1),"")</f>
        <v/>
      </c>
      <c r="C137" s="4" t="str">
        <f>IF(A137&lt;=APP!$D$11*12,APP!$D$10,"")</f>
        <v/>
      </c>
      <c r="D137" s="4" t="str">
        <f>IF(A137&lt;=APP!$D$11*12,F136,"")</f>
        <v/>
      </c>
      <c r="E137" s="4" t="str">
        <f>IF(A137&lt;=APP!$D$11*12,D137*APP!$D$12,"")</f>
        <v/>
      </c>
      <c r="F137" s="4" t="str">
        <f>IF(A137&lt;=APP!$D$11*12,D137+E137+C137,"")</f>
        <v/>
      </c>
      <c r="G137" s="4" t="str">
        <f>IF(A137&lt;=APP!$D$11*12,F137*APP!$D$6,"")</f>
        <v/>
      </c>
    </row>
    <row r="138" spans="1:7" x14ac:dyDescent="0.3">
      <c r="A138" s="2">
        <f t="shared" si="2"/>
        <v>136</v>
      </c>
      <c r="B138" s="3" t="str">
        <f>IF(A138&lt;=APP!$D$11*12,EDATE(B137,1),"")</f>
        <v/>
      </c>
      <c r="C138" s="4" t="str">
        <f>IF(A138&lt;=APP!$D$11*12,APP!$D$10,"")</f>
        <v/>
      </c>
      <c r="D138" s="4" t="str">
        <f>IF(A138&lt;=APP!$D$11*12,F137,"")</f>
        <v/>
      </c>
      <c r="E138" s="4" t="str">
        <f>IF(A138&lt;=APP!$D$11*12,D138*APP!$D$12,"")</f>
        <v/>
      </c>
      <c r="F138" s="4" t="str">
        <f>IF(A138&lt;=APP!$D$11*12,D138+E138+C138,"")</f>
        <v/>
      </c>
      <c r="G138" s="4" t="str">
        <f>IF(A138&lt;=APP!$D$11*12,F138*APP!$D$6,"")</f>
        <v/>
      </c>
    </row>
    <row r="139" spans="1:7" x14ac:dyDescent="0.3">
      <c r="A139" s="2">
        <f t="shared" si="2"/>
        <v>137</v>
      </c>
      <c r="B139" s="3" t="str">
        <f>IF(A139&lt;=APP!$D$11*12,EDATE(B138,1),"")</f>
        <v/>
      </c>
      <c r="C139" s="4" t="str">
        <f>IF(A139&lt;=APP!$D$11*12,APP!$D$10,"")</f>
        <v/>
      </c>
      <c r="D139" s="4" t="str">
        <f>IF(A139&lt;=APP!$D$11*12,F138,"")</f>
        <v/>
      </c>
      <c r="E139" s="4" t="str">
        <f>IF(A139&lt;=APP!$D$11*12,D139*APP!$D$12,"")</f>
        <v/>
      </c>
      <c r="F139" s="4" t="str">
        <f>IF(A139&lt;=APP!$D$11*12,D139+E139+C139,"")</f>
        <v/>
      </c>
      <c r="G139" s="4" t="str">
        <f>IF(A139&lt;=APP!$D$11*12,F139*APP!$D$6,"")</f>
        <v/>
      </c>
    </row>
    <row r="140" spans="1:7" x14ac:dyDescent="0.3">
      <c r="A140" s="2">
        <f t="shared" si="2"/>
        <v>138</v>
      </c>
      <c r="B140" s="3" t="str">
        <f>IF(A140&lt;=APP!$D$11*12,EDATE(B139,1),"")</f>
        <v/>
      </c>
      <c r="C140" s="4" t="str">
        <f>IF(A140&lt;=APP!$D$11*12,APP!$D$10,"")</f>
        <v/>
      </c>
      <c r="D140" s="4" t="str">
        <f>IF(A140&lt;=APP!$D$11*12,F139,"")</f>
        <v/>
      </c>
      <c r="E140" s="4" t="str">
        <f>IF(A140&lt;=APP!$D$11*12,D140*APP!$D$12,"")</f>
        <v/>
      </c>
      <c r="F140" s="4" t="str">
        <f>IF(A140&lt;=APP!$D$11*12,D140+E140+C140,"")</f>
        <v/>
      </c>
      <c r="G140" s="4" t="str">
        <f>IF(A140&lt;=APP!$D$11*12,F140*APP!$D$6,"")</f>
        <v/>
      </c>
    </row>
    <row r="141" spans="1:7" x14ac:dyDescent="0.3">
      <c r="A141" s="2">
        <f t="shared" si="2"/>
        <v>139</v>
      </c>
      <c r="B141" s="3" t="str">
        <f>IF(A141&lt;=APP!$D$11*12,EDATE(B140,1),"")</f>
        <v/>
      </c>
      <c r="C141" s="4" t="str">
        <f>IF(A141&lt;=APP!$D$11*12,APP!$D$10,"")</f>
        <v/>
      </c>
      <c r="D141" s="4" t="str">
        <f>IF(A141&lt;=APP!$D$11*12,F140,"")</f>
        <v/>
      </c>
      <c r="E141" s="4" t="str">
        <f>IF(A141&lt;=APP!$D$11*12,D141*APP!$D$12,"")</f>
        <v/>
      </c>
      <c r="F141" s="4" t="str">
        <f>IF(A141&lt;=APP!$D$11*12,D141+E141+C141,"")</f>
        <v/>
      </c>
      <c r="G141" s="4" t="str">
        <f>IF(A141&lt;=APP!$D$11*12,F141*APP!$D$6,"")</f>
        <v/>
      </c>
    </row>
    <row r="142" spans="1:7" x14ac:dyDescent="0.3">
      <c r="A142" s="2">
        <f t="shared" si="2"/>
        <v>140</v>
      </c>
      <c r="B142" s="3" t="str">
        <f>IF(A142&lt;=APP!$D$11*12,EDATE(B141,1),"")</f>
        <v/>
      </c>
      <c r="C142" s="4" t="str">
        <f>IF(A142&lt;=APP!$D$11*12,APP!$D$10,"")</f>
        <v/>
      </c>
      <c r="D142" s="4" t="str">
        <f>IF(A142&lt;=APP!$D$11*12,F141,"")</f>
        <v/>
      </c>
      <c r="E142" s="4" t="str">
        <f>IF(A142&lt;=APP!$D$11*12,D142*APP!$D$12,"")</f>
        <v/>
      </c>
      <c r="F142" s="4" t="str">
        <f>IF(A142&lt;=APP!$D$11*12,D142+E142+C142,"")</f>
        <v/>
      </c>
      <c r="G142" s="4" t="str">
        <f>IF(A142&lt;=APP!$D$11*12,F142*APP!$D$6,"")</f>
        <v/>
      </c>
    </row>
    <row r="143" spans="1:7" x14ac:dyDescent="0.3">
      <c r="A143" s="2">
        <f t="shared" si="2"/>
        <v>141</v>
      </c>
      <c r="B143" s="3" t="str">
        <f>IF(A143&lt;=APP!$D$11*12,EDATE(B142,1),"")</f>
        <v/>
      </c>
      <c r="C143" s="4" t="str">
        <f>IF(A143&lt;=APP!$D$11*12,APP!$D$10,"")</f>
        <v/>
      </c>
      <c r="D143" s="4" t="str">
        <f>IF(A143&lt;=APP!$D$11*12,F142,"")</f>
        <v/>
      </c>
      <c r="E143" s="4" t="str">
        <f>IF(A143&lt;=APP!$D$11*12,D143*APP!$D$12,"")</f>
        <v/>
      </c>
      <c r="F143" s="4" t="str">
        <f>IF(A143&lt;=APP!$D$11*12,D143+E143+C143,"")</f>
        <v/>
      </c>
      <c r="G143" s="4" t="str">
        <f>IF(A143&lt;=APP!$D$11*12,F143*APP!$D$6,"")</f>
        <v/>
      </c>
    </row>
    <row r="144" spans="1:7" x14ac:dyDescent="0.3">
      <c r="A144" s="2">
        <f t="shared" si="2"/>
        <v>142</v>
      </c>
      <c r="B144" s="3" t="str">
        <f>IF(A144&lt;=APP!$D$11*12,EDATE(B143,1),"")</f>
        <v/>
      </c>
      <c r="C144" s="4" t="str">
        <f>IF(A144&lt;=APP!$D$11*12,APP!$D$10,"")</f>
        <v/>
      </c>
      <c r="D144" s="4" t="str">
        <f>IF(A144&lt;=APP!$D$11*12,F143,"")</f>
        <v/>
      </c>
      <c r="E144" s="4" t="str">
        <f>IF(A144&lt;=APP!$D$11*12,D144*APP!$D$12,"")</f>
        <v/>
      </c>
      <c r="F144" s="4" t="str">
        <f>IF(A144&lt;=APP!$D$11*12,D144+E144+C144,"")</f>
        <v/>
      </c>
      <c r="G144" s="4" t="str">
        <f>IF(A144&lt;=APP!$D$11*12,F144*APP!$D$6,"")</f>
        <v/>
      </c>
    </row>
    <row r="145" spans="1:7" x14ac:dyDescent="0.3">
      <c r="A145" s="2">
        <f t="shared" si="2"/>
        <v>143</v>
      </c>
      <c r="B145" s="3" t="str">
        <f>IF(A145&lt;=APP!$D$11*12,EDATE(B144,1),"")</f>
        <v/>
      </c>
      <c r="C145" s="4" t="str">
        <f>IF(A145&lt;=APP!$D$11*12,APP!$D$10,"")</f>
        <v/>
      </c>
      <c r="D145" s="4" t="str">
        <f>IF(A145&lt;=APP!$D$11*12,F144,"")</f>
        <v/>
      </c>
      <c r="E145" s="4" t="str">
        <f>IF(A145&lt;=APP!$D$11*12,D145*APP!$D$12,"")</f>
        <v/>
      </c>
      <c r="F145" s="4" t="str">
        <f>IF(A145&lt;=APP!$D$11*12,D145+E145+C145,"")</f>
        <v/>
      </c>
      <c r="G145" s="4" t="str">
        <f>IF(A145&lt;=APP!$D$11*12,F145*APP!$D$6,"")</f>
        <v/>
      </c>
    </row>
    <row r="146" spans="1:7" x14ac:dyDescent="0.3">
      <c r="A146" s="2">
        <f t="shared" si="2"/>
        <v>144</v>
      </c>
      <c r="B146" s="3" t="str">
        <f>IF(A146&lt;=APP!$D$11*12,EDATE(B145,1),"")</f>
        <v/>
      </c>
      <c r="C146" s="4" t="str">
        <f>IF(A146&lt;=APP!$D$11*12,APP!$D$10,"")</f>
        <v/>
      </c>
      <c r="D146" s="4" t="str">
        <f>IF(A146&lt;=APP!$D$11*12,F145,"")</f>
        <v/>
      </c>
      <c r="E146" s="4" t="str">
        <f>IF(A146&lt;=APP!$D$11*12,D146*APP!$D$12,"")</f>
        <v/>
      </c>
      <c r="F146" s="4" t="str">
        <f>IF(A146&lt;=APP!$D$11*12,D146+E146+C146,"")</f>
        <v/>
      </c>
      <c r="G146" s="4" t="str">
        <f>IF(A146&lt;=APP!$D$11*12,F146*APP!$D$6,"")</f>
        <v/>
      </c>
    </row>
    <row r="147" spans="1:7" x14ac:dyDescent="0.3">
      <c r="A147" s="2">
        <f t="shared" si="2"/>
        <v>145</v>
      </c>
      <c r="B147" s="3" t="str">
        <f>IF(A147&lt;=APP!$D$11*12,EDATE(B146,1),"")</f>
        <v/>
      </c>
      <c r="C147" s="4" t="str">
        <f>IF(A147&lt;=APP!$D$11*12,APP!$D$10,"")</f>
        <v/>
      </c>
      <c r="D147" s="4" t="str">
        <f>IF(A147&lt;=APP!$D$11*12,F146,"")</f>
        <v/>
      </c>
      <c r="E147" s="4" t="str">
        <f>IF(A147&lt;=APP!$D$11*12,D147*APP!$D$12,"")</f>
        <v/>
      </c>
      <c r="F147" s="4" t="str">
        <f>IF(A147&lt;=APP!$D$11*12,D147+E147+C147,"")</f>
        <v/>
      </c>
      <c r="G147" s="4" t="str">
        <f>IF(A147&lt;=APP!$D$11*12,F147*APP!$D$6,"")</f>
        <v/>
      </c>
    </row>
    <row r="148" spans="1:7" x14ac:dyDescent="0.3">
      <c r="A148" s="2">
        <f t="shared" si="2"/>
        <v>146</v>
      </c>
      <c r="B148" s="3" t="str">
        <f>IF(A148&lt;=APP!$D$11*12,EDATE(B147,1),"")</f>
        <v/>
      </c>
      <c r="C148" s="4" t="str">
        <f>IF(A148&lt;=APP!$D$11*12,APP!$D$10,"")</f>
        <v/>
      </c>
      <c r="D148" s="4" t="str">
        <f>IF(A148&lt;=APP!$D$11*12,F147,"")</f>
        <v/>
      </c>
      <c r="E148" s="4" t="str">
        <f>IF(A148&lt;=APP!$D$11*12,D148*APP!$D$12,"")</f>
        <v/>
      </c>
      <c r="F148" s="4" t="str">
        <f>IF(A148&lt;=APP!$D$11*12,D148+E148+C148,"")</f>
        <v/>
      </c>
      <c r="G148" s="4" t="str">
        <f>IF(A148&lt;=APP!$D$11*12,F148*APP!$D$6,"")</f>
        <v/>
      </c>
    </row>
    <row r="149" spans="1:7" x14ac:dyDescent="0.3">
      <c r="A149" s="2">
        <f t="shared" si="2"/>
        <v>147</v>
      </c>
      <c r="B149" s="3" t="str">
        <f>IF(A149&lt;=APP!$D$11*12,EDATE(B148,1),"")</f>
        <v/>
      </c>
      <c r="C149" s="4" t="str">
        <f>IF(A149&lt;=APP!$D$11*12,APP!$D$10,"")</f>
        <v/>
      </c>
      <c r="D149" s="4" t="str">
        <f>IF(A149&lt;=APP!$D$11*12,F148,"")</f>
        <v/>
      </c>
      <c r="E149" s="4" t="str">
        <f>IF(A149&lt;=APP!$D$11*12,D149*APP!$D$12,"")</f>
        <v/>
      </c>
      <c r="F149" s="4" t="str">
        <f>IF(A149&lt;=APP!$D$11*12,D149+E149+C149,"")</f>
        <v/>
      </c>
      <c r="G149" s="4" t="str">
        <f>IF(A149&lt;=APP!$D$11*12,F149*APP!$D$6,"")</f>
        <v/>
      </c>
    </row>
    <row r="150" spans="1:7" x14ac:dyDescent="0.3">
      <c r="A150" s="2">
        <f t="shared" si="2"/>
        <v>148</v>
      </c>
      <c r="B150" s="3" t="str">
        <f>IF(A150&lt;=APP!$D$11*12,EDATE(B149,1),"")</f>
        <v/>
      </c>
      <c r="C150" s="4" t="str">
        <f>IF(A150&lt;=APP!$D$11*12,APP!$D$10,"")</f>
        <v/>
      </c>
      <c r="D150" s="4" t="str">
        <f>IF(A150&lt;=APP!$D$11*12,F149,"")</f>
        <v/>
      </c>
      <c r="E150" s="4" t="str">
        <f>IF(A150&lt;=APP!$D$11*12,D150*APP!$D$12,"")</f>
        <v/>
      </c>
      <c r="F150" s="4" t="str">
        <f>IF(A150&lt;=APP!$D$11*12,D150+E150+C150,"")</f>
        <v/>
      </c>
      <c r="G150" s="4" t="str">
        <f>IF(A150&lt;=APP!$D$11*12,F150*APP!$D$6,"")</f>
        <v/>
      </c>
    </row>
    <row r="151" spans="1:7" x14ac:dyDescent="0.3">
      <c r="A151" s="2">
        <f t="shared" si="2"/>
        <v>149</v>
      </c>
      <c r="B151" s="3" t="str">
        <f>IF(A151&lt;=APP!$D$11*12,EDATE(B150,1),"")</f>
        <v/>
      </c>
      <c r="C151" s="4" t="str">
        <f>IF(A151&lt;=APP!$D$11*12,APP!$D$10,"")</f>
        <v/>
      </c>
      <c r="D151" s="4" t="str">
        <f>IF(A151&lt;=APP!$D$11*12,F150,"")</f>
        <v/>
      </c>
      <c r="E151" s="4" t="str">
        <f>IF(A151&lt;=APP!$D$11*12,D151*APP!$D$12,"")</f>
        <v/>
      </c>
      <c r="F151" s="4" t="str">
        <f>IF(A151&lt;=APP!$D$11*12,D151+E151+C151,"")</f>
        <v/>
      </c>
      <c r="G151" s="4" t="str">
        <f>IF(A151&lt;=APP!$D$11*12,F151*APP!$D$6,"")</f>
        <v/>
      </c>
    </row>
    <row r="152" spans="1:7" x14ac:dyDescent="0.3">
      <c r="A152" s="2">
        <f t="shared" si="2"/>
        <v>150</v>
      </c>
      <c r="B152" s="3" t="str">
        <f>IF(A152&lt;=APP!$D$11*12,EDATE(B151,1),"")</f>
        <v/>
      </c>
      <c r="C152" s="4" t="str">
        <f>IF(A152&lt;=APP!$D$11*12,APP!$D$10,"")</f>
        <v/>
      </c>
      <c r="D152" s="4" t="str">
        <f>IF(A152&lt;=APP!$D$11*12,F151,"")</f>
        <v/>
      </c>
      <c r="E152" s="4" t="str">
        <f>IF(A152&lt;=APP!$D$11*12,D152*APP!$D$12,"")</f>
        <v/>
      </c>
      <c r="F152" s="4" t="str">
        <f>IF(A152&lt;=APP!$D$11*12,D152+E152+C152,"")</f>
        <v/>
      </c>
      <c r="G152" s="4" t="str">
        <f>IF(A152&lt;=APP!$D$11*12,F152*APP!$D$6,"")</f>
        <v/>
      </c>
    </row>
    <row r="153" spans="1:7" x14ac:dyDescent="0.3">
      <c r="A153" s="2">
        <f t="shared" si="2"/>
        <v>151</v>
      </c>
      <c r="B153" s="3" t="str">
        <f>IF(A153&lt;=APP!$D$11*12,EDATE(B152,1),"")</f>
        <v/>
      </c>
      <c r="C153" s="4" t="str">
        <f>IF(A153&lt;=APP!$D$11*12,APP!$D$10,"")</f>
        <v/>
      </c>
      <c r="D153" s="4" t="str">
        <f>IF(A153&lt;=APP!$D$11*12,F152,"")</f>
        <v/>
      </c>
      <c r="E153" s="4" t="str">
        <f>IF(A153&lt;=APP!$D$11*12,D153*APP!$D$12,"")</f>
        <v/>
      </c>
      <c r="F153" s="4" t="str">
        <f>IF(A153&lt;=APP!$D$11*12,D153+E153+C153,"")</f>
        <v/>
      </c>
      <c r="G153" s="4" t="str">
        <f>IF(A153&lt;=APP!$D$11*12,F153*APP!$D$6,"")</f>
        <v/>
      </c>
    </row>
    <row r="154" spans="1:7" x14ac:dyDescent="0.3">
      <c r="A154" s="2">
        <f t="shared" si="2"/>
        <v>152</v>
      </c>
      <c r="B154" s="3" t="str">
        <f>IF(A154&lt;=APP!$D$11*12,EDATE(B153,1),"")</f>
        <v/>
      </c>
      <c r="C154" s="4" t="str">
        <f>IF(A154&lt;=APP!$D$11*12,APP!$D$10,"")</f>
        <v/>
      </c>
      <c r="D154" s="4" t="str">
        <f>IF(A154&lt;=APP!$D$11*12,F153,"")</f>
        <v/>
      </c>
      <c r="E154" s="4" t="str">
        <f>IF(A154&lt;=APP!$D$11*12,D154*APP!$D$12,"")</f>
        <v/>
      </c>
      <c r="F154" s="4" t="str">
        <f>IF(A154&lt;=APP!$D$11*12,D154+E154+C154,"")</f>
        <v/>
      </c>
      <c r="G154" s="4" t="str">
        <f>IF(A154&lt;=APP!$D$11*12,F154*APP!$D$6,"")</f>
        <v/>
      </c>
    </row>
    <row r="155" spans="1:7" x14ac:dyDescent="0.3">
      <c r="A155" s="2">
        <f t="shared" si="2"/>
        <v>153</v>
      </c>
      <c r="B155" s="3" t="str">
        <f>IF(A155&lt;=APP!$D$11*12,EDATE(B154,1),"")</f>
        <v/>
      </c>
      <c r="C155" s="4" t="str">
        <f>IF(A155&lt;=APP!$D$11*12,APP!$D$10,"")</f>
        <v/>
      </c>
      <c r="D155" s="4" t="str">
        <f>IF(A155&lt;=APP!$D$11*12,F154,"")</f>
        <v/>
      </c>
      <c r="E155" s="4" t="str">
        <f>IF(A155&lt;=APP!$D$11*12,D155*APP!$D$12,"")</f>
        <v/>
      </c>
      <c r="F155" s="4" t="str">
        <f>IF(A155&lt;=APP!$D$11*12,D155+E155+C155,"")</f>
        <v/>
      </c>
      <c r="G155" s="4" t="str">
        <f>IF(A155&lt;=APP!$D$11*12,F155*APP!$D$6,"")</f>
        <v/>
      </c>
    </row>
    <row r="156" spans="1:7" x14ac:dyDescent="0.3">
      <c r="A156" s="2">
        <f t="shared" si="2"/>
        <v>154</v>
      </c>
      <c r="B156" s="3" t="str">
        <f>IF(A156&lt;=APP!$D$11*12,EDATE(B155,1),"")</f>
        <v/>
      </c>
      <c r="C156" s="4" t="str">
        <f>IF(A156&lt;=APP!$D$11*12,APP!$D$10,"")</f>
        <v/>
      </c>
      <c r="D156" s="4" t="str">
        <f>IF(A156&lt;=APP!$D$11*12,F155,"")</f>
        <v/>
      </c>
      <c r="E156" s="4" t="str">
        <f>IF(A156&lt;=APP!$D$11*12,D156*APP!$D$12,"")</f>
        <v/>
      </c>
      <c r="F156" s="4" t="str">
        <f>IF(A156&lt;=APP!$D$11*12,D156+E156+C156,"")</f>
        <v/>
      </c>
      <c r="G156" s="4" t="str">
        <f>IF(A156&lt;=APP!$D$11*12,F156*APP!$D$6,"")</f>
        <v/>
      </c>
    </row>
    <row r="157" spans="1:7" x14ac:dyDescent="0.3">
      <c r="A157" s="2">
        <f t="shared" si="2"/>
        <v>155</v>
      </c>
      <c r="B157" s="3" t="str">
        <f>IF(A157&lt;=APP!$D$11*12,EDATE(B156,1),"")</f>
        <v/>
      </c>
      <c r="C157" s="4" t="str">
        <f>IF(A157&lt;=APP!$D$11*12,APP!$D$10,"")</f>
        <v/>
      </c>
      <c r="D157" s="4" t="str">
        <f>IF(A157&lt;=APP!$D$11*12,F156,"")</f>
        <v/>
      </c>
      <c r="E157" s="4" t="str">
        <f>IF(A157&lt;=APP!$D$11*12,D157*APP!$D$12,"")</f>
        <v/>
      </c>
      <c r="F157" s="4" t="str">
        <f>IF(A157&lt;=APP!$D$11*12,D157+E157+C157,"")</f>
        <v/>
      </c>
      <c r="G157" s="4" t="str">
        <f>IF(A157&lt;=APP!$D$11*12,F157*APP!$D$6,"")</f>
        <v/>
      </c>
    </row>
    <row r="158" spans="1:7" x14ac:dyDescent="0.3">
      <c r="A158" s="2">
        <f t="shared" si="2"/>
        <v>156</v>
      </c>
      <c r="B158" s="3" t="str">
        <f>IF(A158&lt;=APP!$D$11*12,EDATE(B157,1),"")</f>
        <v/>
      </c>
      <c r="C158" s="4" t="str">
        <f>IF(A158&lt;=APP!$D$11*12,APP!$D$10,"")</f>
        <v/>
      </c>
      <c r="D158" s="4" t="str">
        <f>IF(A158&lt;=APP!$D$11*12,F157,"")</f>
        <v/>
      </c>
      <c r="E158" s="4" t="str">
        <f>IF(A158&lt;=APP!$D$11*12,D158*APP!$D$12,"")</f>
        <v/>
      </c>
      <c r="F158" s="4" t="str">
        <f>IF(A158&lt;=APP!$D$11*12,D158+E158+C158,"")</f>
        <v/>
      </c>
      <c r="G158" s="4" t="str">
        <f>IF(A158&lt;=APP!$D$11*12,F158*APP!$D$6,"")</f>
        <v/>
      </c>
    </row>
    <row r="159" spans="1:7" x14ac:dyDescent="0.3">
      <c r="A159" s="2">
        <f t="shared" si="2"/>
        <v>157</v>
      </c>
      <c r="B159" s="3" t="str">
        <f>IF(A159&lt;=APP!$D$11*12,EDATE(B158,1),"")</f>
        <v/>
      </c>
      <c r="C159" s="4" t="str">
        <f>IF(A159&lt;=APP!$D$11*12,APP!$D$10,"")</f>
        <v/>
      </c>
      <c r="D159" s="4" t="str">
        <f>IF(A159&lt;=APP!$D$11*12,F158,"")</f>
        <v/>
      </c>
      <c r="E159" s="4" t="str">
        <f>IF(A159&lt;=APP!$D$11*12,D159*APP!$D$12,"")</f>
        <v/>
      </c>
      <c r="F159" s="4" t="str">
        <f>IF(A159&lt;=APP!$D$11*12,D159+E159+C159,"")</f>
        <v/>
      </c>
      <c r="G159" s="4" t="str">
        <f>IF(A159&lt;=APP!$D$11*12,F159*APP!$D$6,"")</f>
        <v/>
      </c>
    </row>
    <row r="160" spans="1:7" x14ac:dyDescent="0.3">
      <c r="A160" s="2">
        <f t="shared" si="2"/>
        <v>158</v>
      </c>
      <c r="B160" s="3" t="str">
        <f>IF(A160&lt;=APP!$D$11*12,EDATE(B159,1),"")</f>
        <v/>
      </c>
      <c r="C160" s="4" t="str">
        <f>IF(A160&lt;=APP!$D$11*12,APP!$D$10,"")</f>
        <v/>
      </c>
      <c r="D160" s="4" t="str">
        <f>IF(A160&lt;=APP!$D$11*12,F159,"")</f>
        <v/>
      </c>
      <c r="E160" s="4" t="str">
        <f>IF(A160&lt;=APP!$D$11*12,D160*APP!$D$12,"")</f>
        <v/>
      </c>
      <c r="F160" s="4" t="str">
        <f>IF(A160&lt;=APP!$D$11*12,D160+E160+C160,"")</f>
        <v/>
      </c>
      <c r="G160" s="4" t="str">
        <f>IF(A160&lt;=APP!$D$11*12,F160*APP!$D$6,"")</f>
        <v/>
      </c>
    </row>
    <row r="161" spans="1:7" x14ac:dyDescent="0.3">
      <c r="A161" s="2">
        <f t="shared" si="2"/>
        <v>159</v>
      </c>
      <c r="B161" s="3" t="str">
        <f>IF(A161&lt;=APP!$D$11*12,EDATE(B160,1),"")</f>
        <v/>
      </c>
      <c r="C161" s="4" t="str">
        <f>IF(A161&lt;=APP!$D$11*12,APP!$D$10,"")</f>
        <v/>
      </c>
      <c r="D161" s="4" t="str">
        <f>IF(A161&lt;=APP!$D$11*12,F160,"")</f>
        <v/>
      </c>
      <c r="E161" s="4" t="str">
        <f>IF(A161&lt;=APP!$D$11*12,D161*APP!$D$12,"")</f>
        <v/>
      </c>
      <c r="F161" s="4" t="str">
        <f>IF(A161&lt;=APP!$D$11*12,D161+E161+C161,"")</f>
        <v/>
      </c>
      <c r="G161" s="4" t="str">
        <f>IF(A161&lt;=APP!$D$11*12,F161*APP!$D$6,"")</f>
        <v/>
      </c>
    </row>
    <row r="162" spans="1:7" x14ac:dyDescent="0.3">
      <c r="A162" s="2">
        <f t="shared" si="2"/>
        <v>160</v>
      </c>
      <c r="B162" s="3" t="str">
        <f>IF(A162&lt;=APP!$D$11*12,EDATE(B161,1),"")</f>
        <v/>
      </c>
      <c r="C162" s="4" t="str">
        <f>IF(A162&lt;=APP!$D$11*12,APP!$D$10,"")</f>
        <v/>
      </c>
      <c r="D162" s="4" t="str">
        <f>IF(A162&lt;=APP!$D$11*12,F161,"")</f>
        <v/>
      </c>
      <c r="E162" s="4" t="str">
        <f>IF(A162&lt;=APP!$D$11*12,D162*APP!$D$12,"")</f>
        <v/>
      </c>
      <c r="F162" s="4" t="str">
        <f>IF(A162&lt;=APP!$D$11*12,D162+E162+C162,"")</f>
        <v/>
      </c>
      <c r="G162" s="4" t="str">
        <f>IF(A162&lt;=APP!$D$11*12,F162*APP!$D$6,"")</f>
        <v/>
      </c>
    </row>
    <row r="163" spans="1:7" x14ac:dyDescent="0.3">
      <c r="A163" s="2">
        <f t="shared" si="2"/>
        <v>161</v>
      </c>
      <c r="B163" s="3" t="str">
        <f>IF(A163&lt;=APP!$D$11*12,EDATE(B162,1),"")</f>
        <v/>
      </c>
      <c r="C163" s="4" t="str">
        <f>IF(A163&lt;=APP!$D$11*12,APP!$D$10,"")</f>
        <v/>
      </c>
      <c r="D163" s="4" t="str">
        <f>IF(A163&lt;=APP!$D$11*12,F162,"")</f>
        <v/>
      </c>
      <c r="E163" s="4" t="str">
        <f>IF(A163&lt;=APP!$D$11*12,D163*APP!$D$12,"")</f>
        <v/>
      </c>
      <c r="F163" s="4" t="str">
        <f>IF(A163&lt;=APP!$D$11*12,D163+E163+C163,"")</f>
        <v/>
      </c>
      <c r="G163" s="4" t="str">
        <f>IF(A163&lt;=APP!$D$11*12,F163*APP!$D$6,"")</f>
        <v/>
      </c>
    </row>
    <row r="164" spans="1:7" x14ac:dyDescent="0.3">
      <c r="A164" s="2">
        <f t="shared" si="2"/>
        <v>162</v>
      </c>
      <c r="B164" s="3" t="str">
        <f>IF(A164&lt;=APP!$D$11*12,EDATE(B163,1),"")</f>
        <v/>
      </c>
      <c r="C164" s="4" t="str">
        <f>IF(A164&lt;=APP!$D$11*12,APP!$D$10,"")</f>
        <v/>
      </c>
      <c r="D164" s="4" t="str">
        <f>IF(A164&lt;=APP!$D$11*12,F163,"")</f>
        <v/>
      </c>
      <c r="E164" s="4" t="str">
        <f>IF(A164&lt;=APP!$D$11*12,D164*APP!$D$12,"")</f>
        <v/>
      </c>
      <c r="F164" s="4" t="str">
        <f>IF(A164&lt;=APP!$D$11*12,D164+E164+C164,"")</f>
        <v/>
      </c>
      <c r="G164" s="4" t="str">
        <f>IF(A164&lt;=APP!$D$11*12,F164*APP!$D$6,"")</f>
        <v/>
      </c>
    </row>
    <row r="165" spans="1:7" x14ac:dyDescent="0.3">
      <c r="A165" s="2">
        <f t="shared" si="2"/>
        <v>163</v>
      </c>
      <c r="B165" s="3" t="str">
        <f>IF(A165&lt;=APP!$D$11*12,EDATE(B164,1),"")</f>
        <v/>
      </c>
      <c r="C165" s="4" t="str">
        <f>IF(A165&lt;=APP!$D$11*12,APP!$D$10,"")</f>
        <v/>
      </c>
      <c r="D165" s="4" t="str">
        <f>IF(A165&lt;=APP!$D$11*12,F164,"")</f>
        <v/>
      </c>
      <c r="E165" s="4" t="str">
        <f>IF(A165&lt;=APP!$D$11*12,D165*APP!$D$12,"")</f>
        <v/>
      </c>
      <c r="F165" s="4" t="str">
        <f>IF(A165&lt;=APP!$D$11*12,D165+E165+C165,"")</f>
        <v/>
      </c>
      <c r="G165" s="4" t="str">
        <f>IF(A165&lt;=APP!$D$11*12,F165*APP!$D$6,"")</f>
        <v/>
      </c>
    </row>
    <row r="166" spans="1:7" x14ac:dyDescent="0.3">
      <c r="A166" s="2">
        <f t="shared" si="2"/>
        <v>164</v>
      </c>
      <c r="B166" s="3" t="str">
        <f>IF(A166&lt;=APP!$D$11*12,EDATE(B165,1),"")</f>
        <v/>
      </c>
      <c r="C166" s="4" t="str">
        <f>IF(A166&lt;=APP!$D$11*12,APP!$D$10,"")</f>
        <v/>
      </c>
      <c r="D166" s="4" t="str">
        <f>IF(A166&lt;=APP!$D$11*12,F165,"")</f>
        <v/>
      </c>
      <c r="E166" s="4" t="str">
        <f>IF(A166&lt;=APP!$D$11*12,D166*APP!$D$12,"")</f>
        <v/>
      </c>
      <c r="F166" s="4" t="str">
        <f>IF(A166&lt;=APP!$D$11*12,D166+E166+C166,"")</f>
        <v/>
      </c>
      <c r="G166" s="4" t="str">
        <f>IF(A166&lt;=APP!$D$11*12,F166*APP!$D$6,"")</f>
        <v/>
      </c>
    </row>
    <row r="167" spans="1:7" x14ac:dyDescent="0.3">
      <c r="A167" s="2">
        <f t="shared" si="2"/>
        <v>165</v>
      </c>
      <c r="B167" s="3" t="str">
        <f>IF(A167&lt;=APP!$D$11*12,EDATE(B166,1),"")</f>
        <v/>
      </c>
      <c r="C167" s="4" t="str">
        <f>IF(A167&lt;=APP!$D$11*12,APP!$D$10,"")</f>
        <v/>
      </c>
      <c r="D167" s="4" t="str">
        <f>IF(A167&lt;=APP!$D$11*12,F166,"")</f>
        <v/>
      </c>
      <c r="E167" s="4" t="str">
        <f>IF(A167&lt;=APP!$D$11*12,D167*APP!$D$12,"")</f>
        <v/>
      </c>
      <c r="F167" s="4" t="str">
        <f>IF(A167&lt;=APP!$D$11*12,D167+E167+C167,"")</f>
        <v/>
      </c>
      <c r="G167" s="4" t="str">
        <f>IF(A167&lt;=APP!$D$11*12,F167*APP!$D$6,"")</f>
        <v/>
      </c>
    </row>
    <row r="168" spans="1:7" x14ac:dyDescent="0.3">
      <c r="A168" s="2">
        <f t="shared" si="2"/>
        <v>166</v>
      </c>
      <c r="B168" s="3" t="str">
        <f>IF(A168&lt;=APP!$D$11*12,EDATE(B167,1),"")</f>
        <v/>
      </c>
      <c r="C168" s="4" t="str">
        <f>IF(A168&lt;=APP!$D$11*12,APP!$D$10,"")</f>
        <v/>
      </c>
      <c r="D168" s="4" t="str">
        <f>IF(A168&lt;=APP!$D$11*12,F167,"")</f>
        <v/>
      </c>
      <c r="E168" s="4" t="str">
        <f>IF(A168&lt;=APP!$D$11*12,D168*APP!$D$12,"")</f>
        <v/>
      </c>
      <c r="F168" s="4" t="str">
        <f>IF(A168&lt;=APP!$D$11*12,D168+E168+C168,"")</f>
        <v/>
      </c>
      <c r="G168" s="4" t="str">
        <f>IF(A168&lt;=APP!$D$11*12,F168*APP!$D$6,"")</f>
        <v/>
      </c>
    </row>
    <row r="169" spans="1:7" x14ac:dyDescent="0.3">
      <c r="A169" s="2">
        <f t="shared" si="2"/>
        <v>167</v>
      </c>
      <c r="B169" s="3" t="str">
        <f>IF(A169&lt;=APP!$D$11*12,EDATE(B168,1),"")</f>
        <v/>
      </c>
      <c r="C169" s="4" t="str">
        <f>IF(A169&lt;=APP!$D$11*12,APP!$D$10,"")</f>
        <v/>
      </c>
      <c r="D169" s="4" t="str">
        <f>IF(A169&lt;=APP!$D$11*12,F168,"")</f>
        <v/>
      </c>
      <c r="E169" s="4" t="str">
        <f>IF(A169&lt;=APP!$D$11*12,D169*APP!$D$12,"")</f>
        <v/>
      </c>
      <c r="F169" s="4" t="str">
        <f>IF(A169&lt;=APP!$D$11*12,D169+E169+C169,"")</f>
        <v/>
      </c>
      <c r="G169" s="4" t="str">
        <f>IF(A169&lt;=APP!$D$11*12,F169*APP!$D$6,"")</f>
        <v/>
      </c>
    </row>
    <row r="170" spans="1:7" x14ac:dyDescent="0.3">
      <c r="A170" s="2">
        <f t="shared" si="2"/>
        <v>168</v>
      </c>
      <c r="B170" s="3" t="str">
        <f>IF(A170&lt;=APP!$D$11*12,EDATE(B169,1),"")</f>
        <v/>
      </c>
      <c r="C170" s="4" t="str">
        <f>IF(A170&lt;=APP!$D$11*12,APP!$D$10,"")</f>
        <v/>
      </c>
      <c r="D170" s="4" t="str">
        <f>IF(A170&lt;=APP!$D$11*12,F169,"")</f>
        <v/>
      </c>
      <c r="E170" s="4" t="str">
        <f>IF(A170&lt;=APP!$D$11*12,D170*APP!$D$12,"")</f>
        <v/>
      </c>
      <c r="F170" s="4" t="str">
        <f>IF(A170&lt;=APP!$D$11*12,D170+E170+C170,"")</f>
        <v/>
      </c>
      <c r="G170" s="4" t="str">
        <f>IF(A170&lt;=APP!$D$11*12,F170*APP!$D$6,"")</f>
        <v/>
      </c>
    </row>
    <row r="171" spans="1:7" x14ac:dyDescent="0.3">
      <c r="A171" s="2">
        <f t="shared" si="2"/>
        <v>169</v>
      </c>
      <c r="B171" s="3" t="str">
        <f>IF(A171&lt;=APP!$D$11*12,EDATE(B170,1),"")</f>
        <v/>
      </c>
      <c r="C171" s="4" t="str">
        <f>IF(A171&lt;=APP!$D$11*12,APP!$D$10,"")</f>
        <v/>
      </c>
      <c r="D171" s="4" t="str">
        <f>IF(A171&lt;=APP!$D$11*12,F170,"")</f>
        <v/>
      </c>
      <c r="E171" s="4" t="str">
        <f>IF(A171&lt;=APP!$D$11*12,D171*APP!$D$12,"")</f>
        <v/>
      </c>
      <c r="F171" s="4" t="str">
        <f>IF(A171&lt;=APP!$D$11*12,D171+E171+C171,"")</f>
        <v/>
      </c>
      <c r="G171" s="4" t="str">
        <f>IF(A171&lt;=APP!$D$11*12,F171*APP!$D$6,"")</f>
        <v/>
      </c>
    </row>
    <row r="172" spans="1:7" x14ac:dyDescent="0.3">
      <c r="A172" s="2">
        <f t="shared" si="2"/>
        <v>170</v>
      </c>
      <c r="B172" s="3" t="str">
        <f>IF(A172&lt;=APP!$D$11*12,EDATE(B171,1),"")</f>
        <v/>
      </c>
      <c r="C172" s="4" t="str">
        <f>IF(A172&lt;=APP!$D$11*12,APP!$D$10,"")</f>
        <v/>
      </c>
      <c r="D172" s="4" t="str">
        <f>IF(A172&lt;=APP!$D$11*12,F171,"")</f>
        <v/>
      </c>
      <c r="E172" s="4" t="str">
        <f>IF(A172&lt;=APP!$D$11*12,D172*APP!$D$12,"")</f>
        <v/>
      </c>
      <c r="F172" s="4" t="str">
        <f>IF(A172&lt;=APP!$D$11*12,D172+E172+C172,"")</f>
        <v/>
      </c>
      <c r="G172" s="4" t="str">
        <f>IF(A172&lt;=APP!$D$11*12,F172*APP!$D$6,"")</f>
        <v/>
      </c>
    </row>
    <row r="173" spans="1:7" x14ac:dyDescent="0.3">
      <c r="A173" s="2">
        <f t="shared" si="2"/>
        <v>171</v>
      </c>
      <c r="B173" s="3" t="str">
        <f>IF(A173&lt;=APP!$D$11*12,EDATE(B172,1),"")</f>
        <v/>
      </c>
      <c r="C173" s="4" t="str">
        <f>IF(A173&lt;=APP!$D$11*12,APP!$D$10,"")</f>
        <v/>
      </c>
      <c r="D173" s="4" t="str">
        <f>IF(A173&lt;=APP!$D$11*12,F172,"")</f>
        <v/>
      </c>
      <c r="E173" s="4" t="str">
        <f>IF(A173&lt;=APP!$D$11*12,D173*APP!$D$12,"")</f>
        <v/>
      </c>
      <c r="F173" s="4" t="str">
        <f>IF(A173&lt;=APP!$D$11*12,D173+E173+C173,"")</f>
        <v/>
      </c>
      <c r="G173" s="4" t="str">
        <f>IF(A173&lt;=APP!$D$11*12,F173*APP!$D$6,"")</f>
        <v/>
      </c>
    </row>
    <row r="174" spans="1:7" x14ac:dyDescent="0.3">
      <c r="A174" s="2">
        <f t="shared" si="2"/>
        <v>172</v>
      </c>
      <c r="B174" s="3" t="str">
        <f>IF(A174&lt;=APP!$D$11*12,EDATE(B173,1),"")</f>
        <v/>
      </c>
      <c r="C174" s="4" t="str">
        <f>IF(A174&lt;=APP!$D$11*12,APP!$D$10,"")</f>
        <v/>
      </c>
      <c r="D174" s="4" t="str">
        <f>IF(A174&lt;=APP!$D$11*12,F173,"")</f>
        <v/>
      </c>
      <c r="E174" s="4" t="str">
        <f>IF(A174&lt;=APP!$D$11*12,D174*APP!$D$12,"")</f>
        <v/>
      </c>
      <c r="F174" s="4" t="str">
        <f>IF(A174&lt;=APP!$D$11*12,D174+E174+C174,"")</f>
        <v/>
      </c>
      <c r="G174" s="4" t="str">
        <f>IF(A174&lt;=APP!$D$11*12,F174*APP!$D$6,"")</f>
        <v/>
      </c>
    </row>
    <row r="175" spans="1:7" x14ac:dyDescent="0.3">
      <c r="A175" s="2">
        <f t="shared" si="2"/>
        <v>173</v>
      </c>
      <c r="B175" s="3" t="str">
        <f>IF(A175&lt;=APP!$D$11*12,EDATE(B174,1),"")</f>
        <v/>
      </c>
      <c r="C175" s="4" t="str">
        <f>IF(A175&lt;=APP!$D$11*12,APP!$D$10,"")</f>
        <v/>
      </c>
      <c r="D175" s="4" t="str">
        <f>IF(A175&lt;=APP!$D$11*12,F174,"")</f>
        <v/>
      </c>
      <c r="E175" s="4" t="str">
        <f>IF(A175&lt;=APP!$D$11*12,D175*APP!$D$12,"")</f>
        <v/>
      </c>
      <c r="F175" s="4" t="str">
        <f>IF(A175&lt;=APP!$D$11*12,D175+E175+C175,"")</f>
        <v/>
      </c>
      <c r="G175" s="4" t="str">
        <f>IF(A175&lt;=APP!$D$11*12,F175*APP!$D$6,"")</f>
        <v/>
      </c>
    </row>
    <row r="176" spans="1:7" x14ac:dyDescent="0.3">
      <c r="A176" s="2">
        <f t="shared" si="2"/>
        <v>174</v>
      </c>
      <c r="B176" s="3" t="str">
        <f>IF(A176&lt;=APP!$D$11*12,EDATE(B175,1),"")</f>
        <v/>
      </c>
      <c r="C176" s="4" t="str">
        <f>IF(A176&lt;=APP!$D$11*12,APP!$D$10,"")</f>
        <v/>
      </c>
      <c r="D176" s="4" t="str">
        <f>IF(A176&lt;=APP!$D$11*12,F175,"")</f>
        <v/>
      </c>
      <c r="E176" s="4" t="str">
        <f>IF(A176&lt;=APP!$D$11*12,D176*APP!$D$12,"")</f>
        <v/>
      </c>
      <c r="F176" s="4" t="str">
        <f>IF(A176&lt;=APP!$D$11*12,D176+E176+C176,"")</f>
        <v/>
      </c>
      <c r="G176" s="4" t="str">
        <f>IF(A176&lt;=APP!$D$11*12,F176*APP!$D$6,"")</f>
        <v/>
      </c>
    </row>
    <row r="177" spans="1:7" x14ac:dyDescent="0.3">
      <c r="A177" s="2">
        <f t="shared" si="2"/>
        <v>175</v>
      </c>
      <c r="B177" s="3" t="str">
        <f>IF(A177&lt;=APP!$D$11*12,EDATE(B176,1),"")</f>
        <v/>
      </c>
      <c r="C177" s="4" t="str">
        <f>IF(A177&lt;=APP!$D$11*12,APP!$D$10,"")</f>
        <v/>
      </c>
      <c r="D177" s="4" t="str">
        <f>IF(A177&lt;=APP!$D$11*12,F176,"")</f>
        <v/>
      </c>
      <c r="E177" s="4" t="str">
        <f>IF(A177&lt;=APP!$D$11*12,D177*APP!$D$12,"")</f>
        <v/>
      </c>
      <c r="F177" s="4" t="str">
        <f>IF(A177&lt;=APP!$D$11*12,D177+E177+C177,"")</f>
        <v/>
      </c>
      <c r="G177" s="4" t="str">
        <f>IF(A177&lt;=APP!$D$11*12,F177*APP!$D$6,"")</f>
        <v/>
      </c>
    </row>
    <row r="178" spans="1:7" x14ac:dyDescent="0.3">
      <c r="A178" s="2">
        <f t="shared" si="2"/>
        <v>176</v>
      </c>
      <c r="B178" s="3" t="str">
        <f>IF(A178&lt;=APP!$D$11*12,EDATE(B177,1),"")</f>
        <v/>
      </c>
      <c r="C178" s="4" t="str">
        <f>IF(A178&lt;=APP!$D$11*12,APP!$D$10,"")</f>
        <v/>
      </c>
      <c r="D178" s="4" t="str">
        <f>IF(A178&lt;=APP!$D$11*12,F177,"")</f>
        <v/>
      </c>
      <c r="E178" s="4" t="str">
        <f>IF(A178&lt;=APP!$D$11*12,D178*APP!$D$12,"")</f>
        <v/>
      </c>
      <c r="F178" s="4" t="str">
        <f>IF(A178&lt;=APP!$D$11*12,D178+E178+C178,"")</f>
        <v/>
      </c>
      <c r="G178" s="4" t="str">
        <f>IF(A178&lt;=APP!$D$11*12,F178*APP!$D$6,"")</f>
        <v/>
      </c>
    </row>
    <row r="179" spans="1:7" x14ac:dyDescent="0.3">
      <c r="A179" s="2">
        <f t="shared" si="2"/>
        <v>177</v>
      </c>
      <c r="B179" s="3" t="str">
        <f>IF(A179&lt;=APP!$D$11*12,EDATE(B178,1),"")</f>
        <v/>
      </c>
      <c r="C179" s="4" t="str">
        <f>IF(A179&lt;=APP!$D$11*12,APP!$D$10,"")</f>
        <v/>
      </c>
      <c r="D179" s="4" t="str">
        <f>IF(A179&lt;=APP!$D$11*12,F178,"")</f>
        <v/>
      </c>
      <c r="E179" s="4" t="str">
        <f>IF(A179&lt;=APP!$D$11*12,D179*APP!$D$12,"")</f>
        <v/>
      </c>
      <c r="F179" s="4" t="str">
        <f>IF(A179&lt;=APP!$D$11*12,D179+E179+C179,"")</f>
        <v/>
      </c>
      <c r="G179" s="4" t="str">
        <f>IF(A179&lt;=APP!$D$11*12,F179*APP!$D$6,"")</f>
        <v/>
      </c>
    </row>
    <row r="180" spans="1:7" x14ac:dyDescent="0.3">
      <c r="A180" s="2">
        <f t="shared" si="2"/>
        <v>178</v>
      </c>
      <c r="B180" s="3" t="str">
        <f>IF(A180&lt;=APP!$D$11*12,EDATE(B179,1),"")</f>
        <v/>
      </c>
      <c r="C180" s="4" t="str">
        <f>IF(A180&lt;=APP!$D$11*12,APP!$D$10,"")</f>
        <v/>
      </c>
      <c r="D180" s="4" t="str">
        <f>IF(A180&lt;=APP!$D$11*12,F179,"")</f>
        <v/>
      </c>
      <c r="E180" s="4" t="str">
        <f>IF(A180&lt;=APP!$D$11*12,D180*APP!$D$12,"")</f>
        <v/>
      </c>
      <c r="F180" s="4" t="str">
        <f>IF(A180&lt;=APP!$D$11*12,D180+E180+C180,"")</f>
        <v/>
      </c>
      <c r="G180" s="4" t="str">
        <f>IF(A180&lt;=APP!$D$11*12,F180*APP!$D$6,"")</f>
        <v/>
      </c>
    </row>
    <row r="181" spans="1:7" x14ac:dyDescent="0.3">
      <c r="A181" s="2">
        <f t="shared" si="2"/>
        <v>179</v>
      </c>
      <c r="B181" s="3" t="str">
        <f>IF(A181&lt;=APP!$D$11*12,EDATE(B180,1),"")</f>
        <v/>
      </c>
      <c r="C181" s="4" t="str">
        <f>IF(A181&lt;=APP!$D$11*12,APP!$D$10,"")</f>
        <v/>
      </c>
      <c r="D181" s="4" t="str">
        <f>IF(A181&lt;=APP!$D$11*12,F180,"")</f>
        <v/>
      </c>
      <c r="E181" s="4" t="str">
        <f>IF(A181&lt;=APP!$D$11*12,D181*APP!$D$12,"")</f>
        <v/>
      </c>
      <c r="F181" s="4" t="str">
        <f>IF(A181&lt;=APP!$D$11*12,D181+E181+C181,"")</f>
        <v/>
      </c>
      <c r="G181" s="4" t="str">
        <f>IF(A181&lt;=APP!$D$11*12,F181*APP!$D$6,"")</f>
        <v/>
      </c>
    </row>
    <row r="182" spans="1:7" x14ac:dyDescent="0.3">
      <c r="A182" s="2">
        <f t="shared" si="2"/>
        <v>180</v>
      </c>
      <c r="B182" s="3" t="str">
        <f>IF(A182&lt;=APP!$D$11*12,EDATE(B181,1),"")</f>
        <v/>
      </c>
      <c r="C182" s="4" t="str">
        <f>IF(A182&lt;=APP!$D$11*12,APP!$D$10,"")</f>
        <v/>
      </c>
      <c r="D182" s="4" t="str">
        <f>IF(A182&lt;=APP!$D$11*12,F181,"")</f>
        <v/>
      </c>
      <c r="E182" s="4" t="str">
        <f>IF(A182&lt;=APP!$D$11*12,D182*APP!$D$12,"")</f>
        <v/>
      </c>
      <c r="F182" s="4" t="str">
        <f>IF(A182&lt;=APP!$D$11*12,D182+E182+C182,"")</f>
        <v/>
      </c>
      <c r="G182" s="4" t="str">
        <f>IF(A182&lt;=APP!$D$11*12,F182*APP!$D$6,"")</f>
        <v/>
      </c>
    </row>
    <row r="183" spans="1:7" x14ac:dyDescent="0.3">
      <c r="A183" s="2">
        <f t="shared" si="2"/>
        <v>181</v>
      </c>
      <c r="B183" s="3" t="str">
        <f>IF(A183&lt;=APP!$D$11*12,EDATE(B182,1),"")</f>
        <v/>
      </c>
      <c r="C183" s="4" t="str">
        <f>IF(A183&lt;=APP!$D$11*12,APP!$D$10,"")</f>
        <v/>
      </c>
      <c r="D183" s="4" t="str">
        <f>IF(A183&lt;=APP!$D$11*12,F182,"")</f>
        <v/>
      </c>
      <c r="E183" s="4" t="str">
        <f>IF(A183&lt;=APP!$D$11*12,D183*APP!$D$12,"")</f>
        <v/>
      </c>
      <c r="F183" s="4" t="str">
        <f>IF(A183&lt;=APP!$D$11*12,D183+E183+C183,"")</f>
        <v/>
      </c>
      <c r="G183" s="4" t="str">
        <f>IF(A183&lt;=APP!$D$11*12,F183*APP!$D$6,"")</f>
        <v/>
      </c>
    </row>
    <row r="184" spans="1:7" x14ac:dyDescent="0.3">
      <c r="A184" s="2">
        <f t="shared" si="2"/>
        <v>182</v>
      </c>
      <c r="B184" s="3" t="str">
        <f>IF(A184&lt;=APP!$D$11*12,EDATE(B183,1),"")</f>
        <v/>
      </c>
      <c r="C184" s="4" t="str">
        <f>IF(A184&lt;=APP!$D$11*12,APP!$D$10,"")</f>
        <v/>
      </c>
      <c r="D184" s="4" t="str">
        <f>IF(A184&lt;=APP!$D$11*12,F183,"")</f>
        <v/>
      </c>
      <c r="E184" s="4" t="str">
        <f>IF(A184&lt;=APP!$D$11*12,D184*APP!$D$12,"")</f>
        <v/>
      </c>
      <c r="F184" s="4" t="str">
        <f>IF(A184&lt;=APP!$D$11*12,D184+E184+C184,"")</f>
        <v/>
      </c>
      <c r="G184" s="4" t="str">
        <f>IF(A184&lt;=APP!$D$11*12,F184*APP!$D$6,"")</f>
        <v/>
      </c>
    </row>
    <row r="185" spans="1:7" x14ac:dyDescent="0.3">
      <c r="A185" s="2">
        <f t="shared" si="2"/>
        <v>183</v>
      </c>
      <c r="B185" s="3" t="str">
        <f>IF(A185&lt;=APP!$D$11*12,EDATE(B184,1),"")</f>
        <v/>
      </c>
      <c r="C185" s="4" t="str">
        <f>IF(A185&lt;=APP!$D$11*12,APP!$D$10,"")</f>
        <v/>
      </c>
      <c r="D185" s="4" t="str">
        <f>IF(A185&lt;=APP!$D$11*12,F184,"")</f>
        <v/>
      </c>
      <c r="E185" s="4" t="str">
        <f>IF(A185&lt;=APP!$D$11*12,D185*APP!$D$12,"")</f>
        <v/>
      </c>
      <c r="F185" s="4" t="str">
        <f>IF(A185&lt;=APP!$D$11*12,D185+E185+C185,"")</f>
        <v/>
      </c>
      <c r="G185" s="4" t="str">
        <f>IF(A185&lt;=APP!$D$11*12,F185*APP!$D$6,"")</f>
        <v/>
      </c>
    </row>
    <row r="186" spans="1:7" x14ac:dyDescent="0.3">
      <c r="A186" s="2">
        <f t="shared" si="2"/>
        <v>184</v>
      </c>
      <c r="B186" s="3" t="str">
        <f>IF(A186&lt;=APP!$D$11*12,EDATE(B185,1),"")</f>
        <v/>
      </c>
      <c r="C186" s="4" t="str">
        <f>IF(A186&lt;=APP!$D$11*12,APP!$D$10,"")</f>
        <v/>
      </c>
      <c r="D186" s="4" t="str">
        <f>IF(A186&lt;=APP!$D$11*12,F185,"")</f>
        <v/>
      </c>
      <c r="E186" s="4" t="str">
        <f>IF(A186&lt;=APP!$D$11*12,D186*APP!$D$12,"")</f>
        <v/>
      </c>
      <c r="F186" s="4" t="str">
        <f>IF(A186&lt;=APP!$D$11*12,D186+E186+C186,"")</f>
        <v/>
      </c>
      <c r="G186" s="4" t="str">
        <f>IF(A186&lt;=APP!$D$11*12,F186*APP!$D$6,"")</f>
        <v/>
      </c>
    </row>
    <row r="187" spans="1:7" x14ac:dyDescent="0.3">
      <c r="A187" s="2">
        <f t="shared" si="2"/>
        <v>185</v>
      </c>
      <c r="B187" s="3" t="str">
        <f>IF(A187&lt;=APP!$D$11*12,EDATE(B186,1),"")</f>
        <v/>
      </c>
      <c r="C187" s="4" t="str">
        <f>IF(A187&lt;=APP!$D$11*12,APP!$D$10,"")</f>
        <v/>
      </c>
      <c r="D187" s="4" t="str">
        <f>IF(A187&lt;=APP!$D$11*12,F186,"")</f>
        <v/>
      </c>
      <c r="E187" s="4" t="str">
        <f>IF(A187&lt;=APP!$D$11*12,D187*APP!$D$12,"")</f>
        <v/>
      </c>
      <c r="F187" s="4" t="str">
        <f>IF(A187&lt;=APP!$D$11*12,D187+E187+C187,"")</f>
        <v/>
      </c>
      <c r="G187" s="4" t="str">
        <f>IF(A187&lt;=APP!$D$11*12,F187*APP!$D$6,"")</f>
        <v/>
      </c>
    </row>
    <row r="188" spans="1:7" x14ac:dyDescent="0.3">
      <c r="A188" s="2">
        <f t="shared" si="2"/>
        <v>186</v>
      </c>
      <c r="B188" s="3" t="str">
        <f>IF(A188&lt;=APP!$D$11*12,EDATE(B187,1),"")</f>
        <v/>
      </c>
      <c r="C188" s="4" t="str">
        <f>IF(A188&lt;=APP!$D$11*12,APP!$D$10,"")</f>
        <v/>
      </c>
      <c r="D188" s="4" t="str">
        <f>IF(A188&lt;=APP!$D$11*12,F187,"")</f>
        <v/>
      </c>
      <c r="E188" s="4" t="str">
        <f>IF(A188&lt;=APP!$D$11*12,D188*APP!$D$12,"")</f>
        <v/>
      </c>
      <c r="F188" s="4" t="str">
        <f>IF(A188&lt;=APP!$D$11*12,D188+E188+C188,"")</f>
        <v/>
      </c>
      <c r="G188" s="4" t="str">
        <f>IF(A188&lt;=APP!$D$11*12,F188*APP!$D$6,"")</f>
        <v/>
      </c>
    </row>
    <row r="189" spans="1:7" x14ac:dyDescent="0.3">
      <c r="A189" s="2">
        <f t="shared" si="2"/>
        <v>187</v>
      </c>
      <c r="B189" s="3" t="str">
        <f>IF(A189&lt;=APP!$D$11*12,EDATE(B188,1),"")</f>
        <v/>
      </c>
      <c r="C189" s="4" t="str">
        <f>IF(A189&lt;=APP!$D$11*12,APP!$D$10,"")</f>
        <v/>
      </c>
      <c r="D189" s="4" t="str">
        <f>IF(A189&lt;=APP!$D$11*12,F188,"")</f>
        <v/>
      </c>
      <c r="E189" s="4" t="str">
        <f>IF(A189&lt;=APP!$D$11*12,D189*APP!$D$12,"")</f>
        <v/>
      </c>
      <c r="F189" s="4" t="str">
        <f>IF(A189&lt;=APP!$D$11*12,D189+E189+C189,"")</f>
        <v/>
      </c>
      <c r="G189" s="4" t="str">
        <f>IF(A189&lt;=APP!$D$11*12,F189*APP!$D$6,"")</f>
        <v/>
      </c>
    </row>
    <row r="190" spans="1:7" x14ac:dyDescent="0.3">
      <c r="A190" s="2">
        <f t="shared" si="2"/>
        <v>188</v>
      </c>
      <c r="B190" s="3" t="str">
        <f>IF(A190&lt;=APP!$D$11*12,EDATE(B189,1),"")</f>
        <v/>
      </c>
      <c r="C190" s="4" t="str">
        <f>IF(A190&lt;=APP!$D$11*12,APP!$D$10,"")</f>
        <v/>
      </c>
      <c r="D190" s="4" t="str">
        <f>IF(A190&lt;=APP!$D$11*12,F189,"")</f>
        <v/>
      </c>
      <c r="E190" s="4" t="str">
        <f>IF(A190&lt;=APP!$D$11*12,D190*APP!$D$12,"")</f>
        <v/>
      </c>
      <c r="F190" s="4" t="str">
        <f>IF(A190&lt;=APP!$D$11*12,D190+E190+C190,"")</f>
        <v/>
      </c>
      <c r="G190" s="4" t="str">
        <f>IF(A190&lt;=APP!$D$11*12,F190*APP!$D$6,"")</f>
        <v/>
      </c>
    </row>
    <row r="191" spans="1:7" x14ac:dyDescent="0.3">
      <c r="A191" s="2">
        <f t="shared" si="2"/>
        <v>189</v>
      </c>
      <c r="B191" s="3" t="str">
        <f>IF(A191&lt;=APP!$D$11*12,EDATE(B190,1),"")</f>
        <v/>
      </c>
      <c r="C191" s="4" t="str">
        <f>IF(A191&lt;=APP!$D$11*12,APP!$D$10,"")</f>
        <v/>
      </c>
      <c r="D191" s="4" t="str">
        <f>IF(A191&lt;=APP!$D$11*12,F190,"")</f>
        <v/>
      </c>
      <c r="E191" s="4" t="str">
        <f>IF(A191&lt;=APP!$D$11*12,D191*APP!$D$12,"")</f>
        <v/>
      </c>
      <c r="F191" s="4" t="str">
        <f>IF(A191&lt;=APP!$D$11*12,D191+E191+C191,"")</f>
        <v/>
      </c>
      <c r="G191" s="4" t="str">
        <f>IF(A191&lt;=APP!$D$11*12,F191*APP!$D$6,"")</f>
        <v/>
      </c>
    </row>
    <row r="192" spans="1:7" x14ac:dyDescent="0.3">
      <c r="A192" s="2">
        <f t="shared" si="2"/>
        <v>190</v>
      </c>
      <c r="B192" s="3" t="str">
        <f>IF(A192&lt;=APP!$D$11*12,EDATE(B191,1),"")</f>
        <v/>
      </c>
      <c r="C192" s="4" t="str">
        <f>IF(A192&lt;=APP!$D$11*12,APP!$D$10,"")</f>
        <v/>
      </c>
      <c r="D192" s="4" t="str">
        <f>IF(A192&lt;=APP!$D$11*12,F191,"")</f>
        <v/>
      </c>
      <c r="E192" s="4" t="str">
        <f>IF(A192&lt;=APP!$D$11*12,D192*APP!$D$12,"")</f>
        <v/>
      </c>
      <c r="F192" s="4" t="str">
        <f>IF(A192&lt;=APP!$D$11*12,D192+E192+C192,"")</f>
        <v/>
      </c>
      <c r="G192" s="4" t="str">
        <f>IF(A192&lt;=APP!$D$11*12,F192*APP!$D$6,"")</f>
        <v/>
      </c>
    </row>
    <row r="193" spans="1:7" x14ac:dyDescent="0.3">
      <c r="A193" s="2">
        <f t="shared" si="2"/>
        <v>191</v>
      </c>
      <c r="B193" s="3" t="str">
        <f>IF(A193&lt;=APP!$D$11*12,EDATE(B192,1),"")</f>
        <v/>
      </c>
      <c r="C193" s="4" t="str">
        <f>IF(A193&lt;=APP!$D$11*12,APP!$D$10,"")</f>
        <v/>
      </c>
      <c r="D193" s="4" t="str">
        <f>IF(A193&lt;=APP!$D$11*12,F192,"")</f>
        <v/>
      </c>
      <c r="E193" s="4" t="str">
        <f>IF(A193&lt;=APP!$D$11*12,D193*APP!$D$12,"")</f>
        <v/>
      </c>
      <c r="F193" s="4" t="str">
        <f>IF(A193&lt;=APP!$D$11*12,D193+E193+C193,"")</f>
        <v/>
      </c>
      <c r="G193" s="4" t="str">
        <f>IF(A193&lt;=APP!$D$11*12,F193*APP!$D$6,"")</f>
        <v/>
      </c>
    </row>
    <row r="194" spans="1:7" x14ac:dyDescent="0.3">
      <c r="A194" s="2">
        <f t="shared" si="2"/>
        <v>192</v>
      </c>
      <c r="B194" s="3" t="str">
        <f>IF(A194&lt;=APP!$D$11*12,EDATE(B193,1),"")</f>
        <v/>
      </c>
      <c r="C194" s="4" t="str">
        <f>IF(A194&lt;=APP!$D$11*12,APP!$D$10,"")</f>
        <v/>
      </c>
      <c r="D194" s="4" t="str">
        <f>IF(A194&lt;=APP!$D$11*12,F193,"")</f>
        <v/>
      </c>
      <c r="E194" s="4" t="str">
        <f>IF(A194&lt;=APP!$D$11*12,D194*APP!$D$12,"")</f>
        <v/>
      </c>
      <c r="F194" s="4" t="str">
        <f>IF(A194&lt;=APP!$D$11*12,D194+E194+C194,"")</f>
        <v/>
      </c>
      <c r="G194" s="4" t="str">
        <f>IF(A194&lt;=APP!$D$11*12,F194*APP!$D$6,"")</f>
        <v/>
      </c>
    </row>
    <row r="195" spans="1:7" x14ac:dyDescent="0.3">
      <c r="A195" s="2">
        <f t="shared" si="2"/>
        <v>193</v>
      </c>
      <c r="B195" s="3" t="str">
        <f>IF(A195&lt;=APP!$D$11*12,EDATE(B194,1),"")</f>
        <v/>
      </c>
      <c r="C195" s="4" t="str">
        <f>IF(A195&lt;=APP!$D$11*12,APP!$D$10,"")</f>
        <v/>
      </c>
      <c r="D195" s="4" t="str">
        <f>IF(A195&lt;=APP!$D$11*12,F194,"")</f>
        <v/>
      </c>
      <c r="E195" s="4" t="str">
        <f>IF(A195&lt;=APP!$D$11*12,D195*APP!$D$12,"")</f>
        <v/>
      </c>
      <c r="F195" s="4" t="str">
        <f>IF(A195&lt;=APP!$D$11*12,D195+E195+C195,"")</f>
        <v/>
      </c>
      <c r="G195" s="4" t="str">
        <f>IF(A195&lt;=APP!$D$11*12,F195*APP!$D$6,"")</f>
        <v/>
      </c>
    </row>
    <row r="196" spans="1:7" x14ac:dyDescent="0.3">
      <c r="A196" s="2">
        <f t="shared" ref="A196:A259" si="3">A195+1</f>
        <v>194</v>
      </c>
      <c r="B196" s="3" t="str">
        <f>IF(A196&lt;=APP!$D$11*12,EDATE(B195,1),"")</f>
        <v/>
      </c>
      <c r="C196" s="4" t="str">
        <f>IF(A196&lt;=APP!$D$11*12,APP!$D$10,"")</f>
        <v/>
      </c>
      <c r="D196" s="4" t="str">
        <f>IF(A196&lt;=APP!$D$11*12,F195,"")</f>
        <v/>
      </c>
      <c r="E196" s="4" t="str">
        <f>IF(A196&lt;=APP!$D$11*12,D196*APP!$D$12,"")</f>
        <v/>
      </c>
      <c r="F196" s="4" t="str">
        <f>IF(A196&lt;=APP!$D$11*12,D196+E196+C196,"")</f>
        <v/>
      </c>
      <c r="G196" s="4" t="str">
        <f>IF(A196&lt;=APP!$D$11*12,F196*APP!$D$6,"")</f>
        <v/>
      </c>
    </row>
    <row r="197" spans="1:7" x14ac:dyDescent="0.3">
      <c r="A197" s="2">
        <f t="shared" si="3"/>
        <v>195</v>
      </c>
      <c r="B197" s="3" t="str">
        <f>IF(A197&lt;=APP!$D$11*12,EDATE(B196,1),"")</f>
        <v/>
      </c>
      <c r="C197" s="4" t="str">
        <f>IF(A197&lt;=APP!$D$11*12,APP!$D$10,"")</f>
        <v/>
      </c>
      <c r="D197" s="4" t="str">
        <f>IF(A197&lt;=APP!$D$11*12,F196,"")</f>
        <v/>
      </c>
      <c r="E197" s="4" t="str">
        <f>IF(A197&lt;=APP!$D$11*12,D197*APP!$D$12,"")</f>
        <v/>
      </c>
      <c r="F197" s="4" t="str">
        <f>IF(A197&lt;=APP!$D$11*12,D197+E197+C197,"")</f>
        <v/>
      </c>
      <c r="G197" s="4" t="str">
        <f>IF(A197&lt;=APP!$D$11*12,F197*APP!$D$6,"")</f>
        <v/>
      </c>
    </row>
    <row r="198" spans="1:7" x14ac:dyDescent="0.3">
      <c r="A198" s="2">
        <f t="shared" si="3"/>
        <v>196</v>
      </c>
      <c r="B198" s="3" t="str">
        <f>IF(A198&lt;=APP!$D$11*12,EDATE(B197,1),"")</f>
        <v/>
      </c>
      <c r="C198" s="4" t="str">
        <f>IF(A198&lt;=APP!$D$11*12,APP!$D$10,"")</f>
        <v/>
      </c>
      <c r="D198" s="4" t="str">
        <f>IF(A198&lt;=APP!$D$11*12,F197,"")</f>
        <v/>
      </c>
      <c r="E198" s="4" t="str">
        <f>IF(A198&lt;=APP!$D$11*12,D198*APP!$D$12,"")</f>
        <v/>
      </c>
      <c r="F198" s="4" t="str">
        <f>IF(A198&lt;=APP!$D$11*12,D198+E198+C198,"")</f>
        <v/>
      </c>
      <c r="G198" s="4" t="str">
        <f>IF(A198&lt;=APP!$D$11*12,F198*APP!$D$6,"")</f>
        <v/>
      </c>
    </row>
    <row r="199" spans="1:7" x14ac:dyDescent="0.3">
      <c r="A199" s="2">
        <f t="shared" si="3"/>
        <v>197</v>
      </c>
      <c r="B199" s="3" t="str">
        <f>IF(A199&lt;=APP!$D$11*12,EDATE(B198,1),"")</f>
        <v/>
      </c>
      <c r="C199" s="4" t="str">
        <f>IF(A199&lt;=APP!$D$11*12,APP!$D$10,"")</f>
        <v/>
      </c>
      <c r="D199" s="4" t="str">
        <f>IF(A199&lt;=APP!$D$11*12,F198,"")</f>
        <v/>
      </c>
      <c r="E199" s="4" t="str">
        <f>IF(A199&lt;=APP!$D$11*12,D199*APP!$D$12,"")</f>
        <v/>
      </c>
      <c r="F199" s="4" t="str">
        <f>IF(A199&lt;=APP!$D$11*12,D199+E199+C199,"")</f>
        <v/>
      </c>
      <c r="G199" s="4" t="str">
        <f>IF(A199&lt;=APP!$D$11*12,F199*APP!$D$6,"")</f>
        <v/>
      </c>
    </row>
    <row r="200" spans="1:7" x14ac:dyDescent="0.3">
      <c r="A200" s="2">
        <f t="shared" si="3"/>
        <v>198</v>
      </c>
      <c r="B200" s="3" t="str">
        <f>IF(A200&lt;=APP!$D$11*12,EDATE(B199,1),"")</f>
        <v/>
      </c>
      <c r="C200" s="4" t="str">
        <f>IF(A200&lt;=APP!$D$11*12,APP!$D$10,"")</f>
        <v/>
      </c>
      <c r="D200" s="4" t="str">
        <f>IF(A200&lt;=APP!$D$11*12,F199,"")</f>
        <v/>
      </c>
      <c r="E200" s="4" t="str">
        <f>IF(A200&lt;=APP!$D$11*12,D200*APP!$D$12,"")</f>
        <v/>
      </c>
      <c r="F200" s="4" t="str">
        <f>IF(A200&lt;=APP!$D$11*12,D200+E200+C200,"")</f>
        <v/>
      </c>
      <c r="G200" s="4" t="str">
        <f>IF(A200&lt;=APP!$D$11*12,F200*APP!$D$6,"")</f>
        <v/>
      </c>
    </row>
    <row r="201" spans="1:7" x14ac:dyDescent="0.3">
      <c r="A201" s="2">
        <f t="shared" si="3"/>
        <v>199</v>
      </c>
      <c r="B201" s="3" t="str">
        <f>IF(A201&lt;=APP!$D$11*12,EDATE(B200,1),"")</f>
        <v/>
      </c>
      <c r="C201" s="4" t="str">
        <f>IF(A201&lt;=APP!$D$11*12,APP!$D$10,"")</f>
        <v/>
      </c>
      <c r="D201" s="4" t="str">
        <f>IF(A201&lt;=APP!$D$11*12,F200,"")</f>
        <v/>
      </c>
      <c r="E201" s="4" t="str">
        <f>IF(A201&lt;=APP!$D$11*12,D201*APP!$D$12,"")</f>
        <v/>
      </c>
      <c r="F201" s="4" t="str">
        <f>IF(A201&lt;=APP!$D$11*12,D201+E201+C201,"")</f>
        <v/>
      </c>
      <c r="G201" s="4" t="str">
        <f>IF(A201&lt;=APP!$D$11*12,F201*APP!$D$6,"")</f>
        <v/>
      </c>
    </row>
    <row r="202" spans="1:7" x14ac:dyDescent="0.3">
      <c r="A202" s="2">
        <f t="shared" si="3"/>
        <v>200</v>
      </c>
      <c r="B202" s="3" t="str">
        <f>IF(A202&lt;=APP!$D$11*12,EDATE(B201,1),"")</f>
        <v/>
      </c>
      <c r="C202" s="4" t="str">
        <f>IF(A202&lt;=APP!$D$11*12,APP!$D$10,"")</f>
        <v/>
      </c>
      <c r="D202" s="4" t="str">
        <f>IF(A202&lt;=APP!$D$11*12,F201,"")</f>
        <v/>
      </c>
      <c r="E202" s="4" t="str">
        <f>IF(A202&lt;=APP!$D$11*12,D202*APP!$D$12,"")</f>
        <v/>
      </c>
      <c r="F202" s="4" t="str">
        <f>IF(A202&lt;=APP!$D$11*12,D202+E202+C202,"")</f>
        <v/>
      </c>
      <c r="G202" s="4" t="str">
        <f>IF(A202&lt;=APP!$D$11*12,F202*APP!$D$6,"")</f>
        <v/>
      </c>
    </row>
    <row r="203" spans="1:7" x14ac:dyDescent="0.3">
      <c r="A203" s="2">
        <f t="shared" si="3"/>
        <v>201</v>
      </c>
      <c r="B203" s="3" t="str">
        <f>IF(A203&lt;=APP!$D$11*12,EDATE(B202,1),"")</f>
        <v/>
      </c>
      <c r="C203" s="4" t="str">
        <f>IF(A203&lt;=APP!$D$11*12,APP!$D$10,"")</f>
        <v/>
      </c>
      <c r="D203" s="4" t="str">
        <f>IF(A203&lt;=APP!$D$11*12,F202,"")</f>
        <v/>
      </c>
      <c r="E203" s="4" t="str">
        <f>IF(A203&lt;=APP!$D$11*12,D203*APP!$D$12,"")</f>
        <v/>
      </c>
      <c r="F203" s="4" t="str">
        <f>IF(A203&lt;=APP!$D$11*12,D203+E203+C203,"")</f>
        <v/>
      </c>
      <c r="G203" s="4" t="str">
        <f>IF(A203&lt;=APP!$D$11*12,F203*APP!$D$6,"")</f>
        <v/>
      </c>
    </row>
    <row r="204" spans="1:7" x14ac:dyDescent="0.3">
      <c r="A204" s="2">
        <f t="shared" si="3"/>
        <v>202</v>
      </c>
      <c r="B204" s="3" t="str">
        <f>IF(A204&lt;=APP!$D$11*12,EDATE(B203,1),"")</f>
        <v/>
      </c>
      <c r="C204" s="4" t="str">
        <f>IF(A204&lt;=APP!$D$11*12,APP!$D$10,"")</f>
        <v/>
      </c>
      <c r="D204" s="4" t="str">
        <f>IF(A204&lt;=APP!$D$11*12,F203,"")</f>
        <v/>
      </c>
      <c r="E204" s="4" t="str">
        <f>IF(A204&lt;=APP!$D$11*12,D204*APP!$D$12,"")</f>
        <v/>
      </c>
      <c r="F204" s="4" t="str">
        <f>IF(A204&lt;=APP!$D$11*12,D204+E204+C204,"")</f>
        <v/>
      </c>
      <c r="G204" s="4" t="str">
        <f>IF(A204&lt;=APP!$D$11*12,F204*APP!$D$6,"")</f>
        <v/>
      </c>
    </row>
    <row r="205" spans="1:7" x14ac:dyDescent="0.3">
      <c r="A205" s="2">
        <f t="shared" si="3"/>
        <v>203</v>
      </c>
      <c r="B205" s="3" t="str">
        <f>IF(A205&lt;=APP!$D$11*12,EDATE(B204,1),"")</f>
        <v/>
      </c>
      <c r="C205" s="4" t="str">
        <f>IF(A205&lt;=APP!$D$11*12,APP!$D$10,"")</f>
        <v/>
      </c>
      <c r="D205" s="4" t="str">
        <f>IF(A205&lt;=APP!$D$11*12,F204,"")</f>
        <v/>
      </c>
      <c r="E205" s="4" t="str">
        <f>IF(A205&lt;=APP!$D$11*12,D205*APP!$D$12,"")</f>
        <v/>
      </c>
      <c r="F205" s="4" t="str">
        <f>IF(A205&lt;=APP!$D$11*12,D205+E205+C205,"")</f>
        <v/>
      </c>
      <c r="G205" s="4" t="str">
        <f>IF(A205&lt;=APP!$D$11*12,F205*APP!$D$6,"")</f>
        <v/>
      </c>
    </row>
    <row r="206" spans="1:7" x14ac:dyDescent="0.3">
      <c r="A206" s="2">
        <f t="shared" si="3"/>
        <v>204</v>
      </c>
      <c r="B206" s="3" t="str">
        <f>IF(A206&lt;=APP!$D$11*12,EDATE(B205,1),"")</f>
        <v/>
      </c>
      <c r="C206" s="4" t="str">
        <f>IF(A206&lt;=APP!$D$11*12,APP!$D$10,"")</f>
        <v/>
      </c>
      <c r="D206" s="4" t="str">
        <f>IF(A206&lt;=APP!$D$11*12,F205,"")</f>
        <v/>
      </c>
      <c r="E206" s="4" t="str">
        <f>IF(A206&lt;=APP!$D$11*12,D206*APP!$D$12,"")</f>
        <v/>
      </c>
      <c r="F206" s="4" t="str">
        <f>IF(A206&lt;=APP!$D$11*12,D206+E206+C206,"")</f>
        <v/>
      </c>
      <c r="G206" s="4" t="str">
        <f>IF(A206&lt;=APP!$D$11*12,F206*APP!$D$6,"")</f>
        <v/>
      </c>
    </row>
    <row r="207" spans="1:7" x14ac:dyDescent="0.3">
      <c r="A207" s="2">
        <f t="shared" si="3"/>
        <v>205</v>
      </c>
      <c r="B207" s="3" t="str">
        <f>IF(A207&lt;=APP!$D$11*12,EDATE(B206,1),"")</f>
        <v/>
      </c>
      <c r="C207" s="4" t="str">
        <f>IF(A207&lt;=APP!$D$11*12,APP!$D$10,"")</f>
        <v/>
      </c>
      <c r="D207" s="4" t="str">
        <f>IF(A207&lt;=APP!$D$11*12,F206,"")</f>
        <v/>
      </c>
      <c r="E207" s="4" t="str">
        <f>IF(A207&lt;=APP!$D$11*12,D207*APP!$D$12,"")</f>
        <v/>
      </c>
      <c r="F207" s="4" t="str">
        <f>IF(A207&lt;=APP!$D$11*12,D207+E207+C207,"")</f>
        <v/>
      </c>
      <c r="G207" s="4" t="str">
        <f>IF(A207&lt;=APP!$D$11*12,F207*APP!$D$6,"")</f>
        <v/>
      </c>
    </row>
    <row r="208" spans="1:7" x14ac:dyDescent="0.3">
      <c r="A208" s="2">
        <f t="shared" si="3"/>
        <v>206</v>
      </c>
      <c r="B208" s="3" t="str">
        <f>IF(A208&lt;=APP!$D$11*12,EDATE(B207,1),"")</f>
        <v/>
      </c>
      <c r="C208" s="4" t="str">
        <f>IF(A208&lt;=APP!$D$11*12,APP!$D$10,"")</f>
        <v/>
      </c>
      <c r="D208" s="4" t="str">
        <f>IF(A208&lt;=APP!$D$11*12,F207,"")</f>
        <v/>
      </c>
      <c r="E208" s="4" t="str">
        <f>IF(A208&lt;=APP!$D$11*12,D208*APP!$D$12,"")</f>
        <v/>
      </c>
      <c r="F208" s="4" t="str">
        <f>IF(A208&lt;=APP!$D$11*12,D208+E208+C208,"")</f>
        <v/>
      </c>
      <c r="G208" s="4" t="str">
        <f>IF(A208&lt;=APP!$D$11*12,F208*APP!$D$6,"")</f>
        <v/>
      </c>
    </row>
    <row r="209" spans="1:7" x14ac:dyDescent="0.3">
      <c r="A209" s="2">
        <f t="shared" si="3"/>
        <v>207</v>
      </c>
      <c r="B209" s="3" t="str">
        <f>IF(A209&lt;=APP!$D$11*12,EDATE(B208,1),"")</f>
        <v/>
      </c>
      <c r="C209" s="4" t="str">
        <f>IF(A209&lt;=APP!$D$11*12,APP!$D$10,"")</f>
        <v/>
      </c>
      <c r="D209" s="4" t="str">
        <f>IF(A209&lt;=APP!$D$11*12,F208,"")</f>
        <v/>
      </c>
      <c r="E209" s="4" t="str">
        <f>IF(A209&lt;=APP!$D$11*12,D209*APP!$D$12,"")</f>
        <v/>
      </c>
      <c r="F209" s="4" t="str">
        <f>IF(A209&lt;=APP!$D$11*12,D209+E209+C209,"")</f>
        <v/>
      </c>
      <c r="G209" s="4" t="str">
        <f>IF(A209&lt;=APP!$D$11*12,F209*APP!$D$6,"")</f>
        <v/>
      </c>
    </row>
    <row r="210" spans="1:7" x14ac:dyDescent="0.3">
      <c r="A210" s="2">
        <f t="shared" si="3"/>
        <v>208</v>
      </c>
      <c r="B210" s="3" t="str">
        <f>IF(A210&lt;=APP!$D$11*12,EDATE(B209,1),"")</f>
        <v/>
      </c>
      <c r="C210" s="4" t="str">
        <f>IF(A210&lt;=APP!$D$11*12,APP!$D$10,"")</f>
        <v/>
      </c>
      <c r="D210" s="4" t="str">
        <f>IF(A210&lt;=APP!$D$11*12,F209,"")</f>
        <v/>
      </c>
      <c r="E210" s="4" t="str">
        <f>IF(A210&lt;=APP!$D$11*12,D210*APP!$D$12,"")</f>
        <v/>
      </c>
      <c r="F210" s="4" t="str">
        <f>IF(A210&lt;=APP!$D$11*12,D210+E210+C210,"")</f>
        <v/>
      </c>
      <c r="G210" s="4" t="str">
        <f>IF(A210&lt;=APP!$D$11*12,F210*APP!$D$6,"")</f>
        <v/>
      </c>
    </row>
    <row r="211" spans="1:7" x14ac:dyDescent="0.3">
      <c r="A211" s="2">
        <f t="shared" si="3"/>
        <v>209</v>
      </c>
      <c r="B211" s="3" t="str">
        <f>IF(A211&lt;=APP!$D$11*12,EDATE(B210,1),"")</f>
        <v/>
      </c>
      <c r="C211" s="4" t="str">
        <f>IF(A211&lt;=APP!$D$11*12,APP!$D$10,"")</f>
        <v/>
      </c>
      <c r="D211" s="4" t="str">
        <f>IF(A211&lt;=APP!$D$11*12,F210,"")</f>
        <v/>
      </c>
      <c r="E211" s="4" t="str">
        <f>IF(A211&lt;=APP!$D$11*12,D211*APP!$D$12,"")</f>
        <v/>
      </c>
      <c r="F211" s="4" t="str">
        <f>IF(A211&lt;=APP!$D$11*12,D211+E211+C211,"")</f>
        <v/>
      </c>
      <c r="G211" s="4" t="str">
        <f>IF(A211&lt;=APP!$D$11*12,F211*APP!$D$6,"")</f>
        <v/>
      </c>
    </row>
    <row r="212" spans="1:7" x14ac:dyDescent="0.3">
      <c r="A212" s="2">
        <f t="shared" si="3"/>
        <v>210</v>
      </c>
      <c r="B212" s="3" t="str">
        <f>IF(A212&lt;=APP!$D$11*12,EDATE(B211,1),"")</f>
        <v/>
      </c>
      <c r="C212" s="4" t="str">
        <f>IF(A212&lt;=APP!$D$11*12,APP!$D$10,"")</f>
        <v/>
      </c>
      <c r="D212" s="4" t="str">
        <f>IF(A212&lt;=APP!$D$11*12,F211,"")</f>
        <v/>
      </c>
      <c r="E212" s="4" t="str">
        <f>IF(A212&lt;=APP!$D$11*12,D212*APP!$D$12,"")</f>
        <v/>
      </c>
      <c r="F212" s="4" t="str">
        <f>IF(A212&lt;=APP!$D$11*12,D212+E212+C212,"")</f>
        <v/>
      </c>
      <c r="G212" s="4" t="str">
        <f>IF(A212&lt;=APP!$D$11*12,F212*APP!$D$6,"")</f>
        <v/>
      </c>
    </row>
    <row r="213" spans="1:7" x14ac:dyDescent="0.3">
      <c r="A213" s="2">
        <f t="shared" si="3"/>
        <v>211</v>
      </c>
      <c r="B213" s="3" t="str">
        <f>IF(A213&lt;=APP!$D$11*12,EDATE(B212,1),"")</f>
        <v/>
      </c>
      <c r="C213" s="4" t="str">
        <f>IF(A213&lt;=APP!$D$11*12,APP!$D$10,"")</f>
        <v/>
      </c>
      <c r="D213" s="4" t="str">
        <f>IF(A213&lt;=APP!$D$11*12,F212,"")</f>
        <v/>
      </c>
      <c r="E213" s="4" t="str">
        <f>IF(A213&lt;=APP!$D$11*12,D213*APP!$D$12,"")</f>
        <v/>
      </c>
      <c r="F213" s="4" t="str">
        <f>IF(A213&lt;=APP!$D$11*12,D213+E213+C213,"")</f>
        <v/>
      </c>
      <c r="G213" s="4" t="str">
        <f>IF(A213&lt;=APP!$D$11*12,F213*APP!$D$6,"")</f>
        <v/>
      </c>
    </row>
    <row r="214" spans="1:7" x14ac:dyDescent="0.3">
      <c r="A214" s="2">
        <f t="shared" si="3"/>
        <v>212</v>
      </c>
      <c r="B214" s="3" t="str">
        <f>IF(A214&lt;=APP!$D$11*12,EDATE(B213,1),"")</f>
        <v/>
      </c>
      <c r="C214" s="4" t="str">
        <f>IF(A214&lt;=APP!$D$11*12,APP!$D$10,"")</f>
        <v/>
      </c>
      <c r="D214" s="4" t="str">
        <f>IF(A214&lt;=APP!$D$11*12,F213,"")</f>
        <v/>
      </c>
      <c r="E214" s="4" t="str">
        <f>IF(A214&lt;=APP!$D$11*12,D214*APP!$D$12,"")</f>
        <v/>
      </c>
      <c r="F214" s="4" t="str">
        <f>IF(A214&lt;=APP!$D$11*12,D214+E214+C214,"")</f>
        <v/>
      </c>
      <c r="G214" s="4" t="str">
        <f>IF(A214&lt;=APP!$D$11*12,F214*APP!$D$6,"")</f>
        <v/>
      </c>
    </row>
    <row r="215" spans="1:7" x14ac:dyDescent="0.3">
      <c r="A215" s="2">
        <f t="shared" si="3"/>
        <v>213</v>
      </c>
      <c r="B215" s="3" t="str">
        <f>IF(A215&lt;=APP!$D$11*12,EDATE(B214,1),"")</f>
        <v/>
      </c>
      <c r="C215" s="4" t="str">
        <f>IF(A215&lt;=APP!$D$11*12,APP!$D$10,"")</f>
        <v/>
      </c>
      <c r="D215" s="4" t="str">
        <f>IF(A215&lt;=APP!$D$11*12,F214,"")</f>
        <v/>
      </c>
      <c r="E215" s="4" t="str">
        <f>IF(A215&lt;=APP!$D$11*12,D215*APP!$D$12,"")</f>
        <v/>
      </c>
      <c r="F215" s="4" t="str">
        <f>IF(A215&lt;=APP!$D$11*12,D215+E215+C215,"")</f>
        <v/>
      </c>
      <c r="G215" s="4" t="str">
        <f>IF(A215&lt;=APP!$D$11*12,F215*APP!$D$6,"")</f>
        <v/>
      </c>
    </row>
    <row r="216" spans="1:7" x14ac:dyDescent="0.3">
      <c r="A216" s="2">
        <f t="shared" si="3"/>
        <v>214</v>
      </c>
      <c r="B216" s="3" t="str">
        <f>IF(A216&lt;=APP!$D$11*12,EDATE(B215,1),"")</f>
        <v/>
      </c>
      <c r="C216" s="4" t="str">
        <f>IF(A216&lt;=APP!$D$11*12,APP!$D$10,"")</f>
        <v/>
      </c>
      <c r="D216" s="4" t="str">
        <f>IF(A216&lt;=APP!$D$11*12,F215,"")</f>
        <v/>
      </c>
      <c r="E216" s="4" t="str">
        <f>IF(A216&lt;=APP!$D$11*12,D216*APP!$D$12,"")</f>
        <v/>
      </c>
      <c r="F216" s="4" t="str">
        <f>IF(A216&lt;=APP!$D$11*12,D216+E216+C216,"")</f>
        <v/>
      </c>
      <c r="G216" s="4" t="str">
        <f>IF(A216&lt;=APP!$D$11*12,F216*APP!$D$6,"")</f>
        <v/>
      </c>
    </row>
    <row r="217" spans="1:7" x14ac:dyDescent="0.3">
      <c r="A217" s="2">
        <f t="shared" si="3"/>
        <v>215</v>
      </c>
      <c r="B217" s="3" t="str">
        <f>IF(A217&lt;=APP!$D$11*12,EDATE(B216,1),"")</f>
        <v/>
      </c>
      <c r="C217" s="4" t="str">
        <f>IF(A217&lt;=APP!$D$11*12,APP!$D$10,"")</f>
        <v/>
      </c>
      <c r="D217" s="4" t="str">
        <f>IF(A217&lt;=APP!$D$11*12,F216,"")</f>
        <v/>
      </c>
      <c r="E217" s="4" t="str">
        <f>IF(A217&lt;=APP!$D$11*12,D217*APP!$D$12,"")</f>
        <v/>
      </c>
      <c r="F217" s="4" t="str">
        <f>IF(A217&lt;=APP!$D$11*12,D217+E217+C217,"")</f>
        <v/>
      </c>
      <c r="G217" s="4" t="str">
        <f>IF(A217&lt;=APP!$D$11*12,F217*APP!$D$6,"")</f>
        <v/>
      </c>
    </row>
    <row r="218" spans="1:7" x14ac:dyDescent="0.3">
      <c r="A218" s="2">
        <f t="shared" si="3"/>
        <v>216</v>
      </c>
      <c r="B218" s="3" t="str">
        <f>IF(A218&lt;=APP!$D$11*12,EDATE(B217,1),"")</f>
        <v/>
      </c>
      <c r="C218" s="4" t="str">
        <f>IF(A218&lt;=APP!$D$11*12,APP!$D$10,"")</f>
        <v/>
      </c>
      <c r="D218" s="4" t="str">
        <f>IF(A218&lt;=APP!$D$11*12,F217,"")</f>
        <v/>
      </c>
      <c r="E218" s="4" t="str">
        <f>IF(A218&lt;=APP!$D$11*12,D218*APP!$D$12,"")</f>
        <v/>
      </c>
      <c r="F218" s="4" t="str">
        <f>IF(A218&lt;=APP!$D$11*12,D218+E218+C218,"")</f>
        <v/>
      </c>
      <c r="G218" s="4" t="str">
        <f>IF(A218&lt;=APP!$D$11*12,F218*APP!$D$6,"")</f>
        <v/>
      </c>
    </row>
    <row r="219" spans="1:7" x14ac:dyDescent="0.3">
      <c r="A219" s="2">
        <f t="shared" si="3"/>
        <v>217</v>
      </c>
      <c r="B219" s="3" t="str">
        <f>IF(A219&lt;=APP!$D$11*12,EDATE(B218,1),"")</f>
        <v/>
      </c>
      <c r="C219" s="4" t="str">
        <f>IF(A219&lt;=APP!$D$11*12,APP!$D$10,"")</f>
        <v/>
      </c>
      <c r="D219" s="4" t="str">
        <f>IF(A219&lt;=APP!$D$11*12,F218,"")</f>
        <v/>
      </c>
      <c r="E219" s="4" t="str">
        <f>IF(A219&lt;=APP!$D$11*12,D219*APP!$D$12,"")</f>
        <v/>
      </c>
      <c r="F219" s="4" t="str">
        <f>IF(A219&lt;=APP!$D$11*12,D219+E219+C219,"")</f>
        <v/>
      </c>
      <c r="G219" s="4" t="str">
        <f>IF(A219&lt;=APP!$D$11*12,F219*APP!$D$6,"")</f>
        <v/>
      </c>
    </row>
    <row r="220" spans="1:7" x14ac:dyDescent="0.3">
      <c r="A220" s="2">
        <f t="shared" si="3"/>
        <v>218</v>
      </c>
      <c r="B220" s="3" t="str">
        <f>IF(A220&lt;=APP!$D$11*12,EDATE(B219,1),"")</f>
        <v/>
      </c>
      <c r="C220" s="4" t="str">
        <f>IF(A220&lt;=APP!$D$11*12,APP!$D$10,"")</f>
        <v/>
      </c>
      <c r="D220" s="4" t="str">
        <f>IF(A220&lt;=APP!$D$11*12,F219,"")</f>
        <v/>
      </c>
      <c r="E220" s="4" t="str">
        <f>IF(A220&lt;=APP!$D$11*12,D220*APP!$D$12,"")</f>
        <v/>
      </c>
      <c r="F220" s="4" t="str">
        <f>IF(A220&lt;=APP!$D$11*12,D220+E220+C220,"")</f>
        <v/>
      </c>
      <c r="G220" s="4" t="str">
        <f>IF(A220&lt;=APP!$D$11*12,F220*APP!$D$6,"")</f>
        <v/>
      </c>
    </row>
    <row r="221" spans="1:7" x14ac:dyDescent="0.3">
      <c r="A221" s="2">
        <f t="shared" si="3"/>
        <v>219</v>
      </c>
      <c r="B221" s="3" t="str">
        <f>IF(A221&lt;=APP!$D$11*12,EDATE(B220,1),"")</f>
        <v/>
      </c>
      <c r="C221" s="4" t="str">
        <f>IF(A221&lt;=APP!$D$11*12,APP!$D$10,"")</f>
        <v/>
      </c>
      <c r="D221" s="4" t="str">
        <f>IF(A221&lt;=APP!$D$11*12,F220,"")</f>
        <v/>
      </c>
      <c r="E221" s="4" t="str">
        <f>IF(A221&lt;=APP!$D$11*12,D221*APP!$D$12,"")</f>
        <v/>
      </c>
      <c r="F221" s="4" t="str">
        <f>IF(A221&lt;=APP!$D$11*12,D221+E221+C221,"")</f>
        <v/>
      </c>
      <c r="G221" s="4" t="str">
        <f>IF(A221&lt;=APP!$D$11*12,F221*APP!$D$6,"")</f>
        <v/>
      </c>
    </row>
    <row r="222" spans="1:7" x14ac:dyDescent="0.3">
      <c r="A222" s="2">
        <f t="shared" si="3"/>
        <v>220</v>
      </c>
      <c r="B222" s="3" t="str">
        <f>IF(A222&lt;=APP!$D$11*12,EDATE(B221,1),"")</f>
        <v/>
      </c>
      <c r="C222" s="4" t="str">
        <f>IF(A222&lt;=APP!$D$11*12,APP!$D$10,"")</f>
        <v/>
      </c>
      <c r="D222" s="4" t="str">
        <f>IF(A222&lt;=APP!$D$11*12,F221,"")</f>
        <v/>
      </c>
      <c r="E222" s="4" t="str">
        <f>IF(A222&lt;=APP!$D$11*12,D222*APP!$D$12,"")</f>
        <v/>
      </c>
      <c r="F222" s="4" t="str">
        <f>IF(A222&lt;=APP!$D$11*12,D222+E222+C222,"")</f>
        <v/>
      </c>
      <c r="G222" s="4" t="str">
        <f>IF(A222&lt;=APP!$D$11*12,F222*APP!$D$6,"")</f>
        <v/>
      </c>
    </row>
    <row r="223" spans="1:7" x14ac:dyDescent="0.3">
      <c r="A223" s="2">
        <f t="shared" si="3"/>
        <v>221</v>
      </c>
      <c r="B223" s="3" t="str">
        <f>IF(A223&lt;=APP!$D$11*12,EDATE(B222,1),"")</f>
        <v/>
      </c>
      <c r="C223" s="4" t="str">
        <f>IF(A223&lt;=APP!$D$11*12,APP!$D$10,"")</f>
        <v/>
      </c>
      <c r="D223" s="4" t="str">
        <f>IF(A223&lt;=APP!$D$11*12,F222,"")</f>
        <v/>
      </c>
      <c r="E223" s="4" t="str">
        <f>IF(A223&lt;=APP!$D$11*12,D223*APP!$D$12,"")</f>
        <v/>
      </c>
      <c r="F223" s="4" t="str">
        <f>IF(A223&lt;=APP!$D$11*12,D223+E223+C223,"")</f>
        <v/>
      </c>
      <c r="G223" s="4" t="str">
        <f>IF(A223&lt;=APP!$D$11*12,F223*APP!$D$6,"")</f>
        <v/>
      </c>
    </row>
    <row r="224" spans="1:7" x14ac:dyDescent="0.3">
      <c r="A224" s="2">
        <f t="shared" si="3"/>
        <v>222</v>
      </c>
      <c r="B224" s="3" t="str">
        <f>IF(A224&lt;=APP!$D$11*12,EDATE(B223,1),"")</f>
        <v/>
      </c>
      <c r="C224" s="4" t="str">
        <f>IF(A224&lt;=APP!$D$11*12,APP!$D$10,"")</f>
        <v/>
      </c>
      <c r="D224" s="4" t="str">
        <f>IF(A224&lt;=APP!$D$11*12,F223,"")</f>
        <v/>
      </c>
      <c r="E224" s="4" t="str">
        <f>IF(A224&lt;=APP!$D$11*12,D224*APP!$D$12,"")</f>
        <v/>
      </c>
      <c r="F224" s="4" t="str">
        <f>IF(A224&lt;=APP!$D$11*12,D224+E224+C224,"")</f>
        <v/>
      </c>
      <c r="G224" s="4" t="str">
        <f>IF(A224&lt;=APP!$D$11*12,F224*APP!$D$6,"")</f>
        <v/>
      </c>
    </row>
    <row r="225" spans="1:7" x14ac:dyDescent="0.3">
      <c r="A225" s="2">
        <f t="shared" si="3"/>
        <v>223</v>
      </c>
      <c r="B225" s="3" t="str">
        <f>IF(A225&lt;=APP!$D$11*12,EDATE(B224,1),"")</f>
        <v/>
      </c>
      <c r="C225" s="4" t="str">
        <f>IF(A225&lt;=APP!$D$11*12,APP!$D$10,"")</f>
        <v/>
      </c>
      <c r="D225" s="4" t="str">
        <f>IF(A225&lt;=APP!$D$11*12,F224,"")</f>
        <v/>
      </c>
      <c r="E225" s="4" t="str">
        <f>IF(A225&lt;=APP!$D$11*12,D225*APP!$D$12,"")</f>
        <v/>
      </c>
      <c r="F225" s="4" t="str">
        <f>IF(A225&lt;=APP!$D$11*12,D225+E225+C225,"")</f>
        <v/>
      </c>
      <c r="G225" s="4" t="str">
        <f>IF(A225&lt;=APP!$D$11*12,F225*APP!$D$6,"")</f>
        <v/>
      </c>
    </row>
    <row r="226" spans="1:7" x14ac:dyDescent="0.3">
      <c r="A226" s="2">
        <f t="shared" si="3"/>
        <v>224</v>
      </c>
      <c r="B226" s="3" t="str">
        <f>IF(A226&lt;=APP!$D$11*12,EDATE(B225,1),"")</f>
        <v/>
      </c>
      <c r="C226" s="4" t="str">
        <f>IF(A226&lt;=APP!$D$11*12,APP!$D$10,"")</f>
        <v/>
      </c>
      <c r="D226" s="4" t="str">
        <f>IF(A226&lt;=APP!$D$11*12,F225,"")</f>
        <v/>
      </c>
      <c r="E226" s="4" t="str">
        <f>IF(A226&lt;=APP!$D$11*12,D226*APP!$D$12,"")</f>
        <v/>
      </c>
      <c r="F226" s="4" t="str">
        <f>IF(A226&lt;=APP!$D$11*12,D226+E226+C226,"")</f>
        <v/>
      </c>
      <c r="G226" s="4" t="str">
        <f>IF(A226&lt;=APP!$D$11*12,F226*APP!$D$6,"")</f>
        <v/>
      </c>
    </row>
    <row r="227" spans="1:7" x14ac:dyDescent="0.3">
      <c r="A227" s="2">
        <f t="shared" si="3"/>
        <v>225</v>
      </c>
      <c r="B227" s="3" t="str">
        <f>IF(A227&lt;=APP!$D$11*12,EDATE(B226,1),"")</f>
        <v/>
      </c>
      <c r="C227" s="4" t="str">
        <f>IF(A227&lt;=APP!$D$11*12,APP!$D$10,"")</f>
        <v/>
      </c>
      <c r="D227" s="4" t="str">
        <f>IF(A227&lt;=APP!$D$11*12,F226,"")</f>
        <v/>
      </c>
      <c r="E227" s="4" t="str">
        <f>IF(A227&lt;=APP!$D$11*12,D227*APP!$D$12,"")</f>
        <v/>
      </c>
      <c r="F227" s="4" t="str">
        <f>IF(A227&lt;=APP!$D$11*12,D227+E227+C227,"")</f>
        <v/>
      </c>
      <c r="G227" s="4" t="str">
        <f>IF(A227&lt;=APP!$D$11*12,F227*APP!$D$6,"")</f>
        <v/>
      </c>
    </row>
    <row r="228" spans="1:7" x14ac:dyDescent="0.3">
      <c r="A228" s="2">
        <f t="shared" si="3"/>
        <v>226</v>
      </c>
      <c r="B228" s="3" t="str">
        <f>IF(A228&lt;=APP!$D$11*12,EDATE(B227,1),"")</f>
        <v/>
      </c>
      <c r="C228" s="4" t="str">
        <f>IF(A228&lt;=APP!$D$11*12,APP!$D$10,"")</f>
        <v/>
      </c>
      <c r="D228" s="4" t="str">
        <f>IF(A228&lt;=APP!$D$11*12,F227,"")</f>
        <v/>
      </c>
      <c r="E228" s="4" t="str">
        <f>IF(A228&lt;=APP!$D$11*12,D228*APP!$D$12,"")</f>
        <v/>
      </c>
      <c r="F228" s="4" t="str">
        <f>IF(A228&lt;=APP!$D$11*12,D228+E228+C228,"")</f>
        <v/>
      </c>
      <c r="G228" s="4" t="str">
        <f>IF(A228&lt;=APP!$D$11*12,F228*APP!$D$6,"")</f>
        <v/>
      </c>
    </row>
    <row r="229" spans="1:7" x14ac:dyDescent="0.3">
      <c r="A229" s="2">
        <f t="shared" si="3"/>
        <v>227</v>
      </c>
      <c r="B229" s="3" t="str">
        <f>IF(A229&lt;=APP!$D$11*12,EDATE(B228,1),"")</f>
        <v/>
      </c>
      <c r="C229" s="4" t="str">
        <f>IF(A229&lt;=APP!$D$11*12,APP!$D$10,"")</f>
        <v/>
      </c>
      <c r="D229" s="4" t="str">
        <f>IF(A229&lt;=APP!$D$11*12,F228,"")</f>
        <v/>
      </c>
      <c r="E229" s="4" t="str">
        <f>IF(A229&lt;=APP!$D$11*12,D229*APP!$D$12,"")</f>
        <v/>
      </c>
      <c r="F229" s="4" t="str">
        <f>IF(A229&lt;=APP!$D$11*12,D229+E229+C229,"")</f>
        <v/>
      </c>
      <c r="G229" s="4" t="str">
        <f>IF(A229&lt;=APP!$D$11*12,F229*APP!$D$6,"")</f>
        <v/>
      </c>
    </row>
    <row r="230" spans="1:7" x14ac:dyDescent="0.3">
      <c r="A230" s="2">
        <f t="shared" si="3"/>
        <v>228</v>
      </c>
      <c r="B230" s="3" t="str">
        <f>IF(A230&lt;=APP!$D$11*12,EDATE(B229,1),"")</f>
        <v/>
      </c>
      <c r="C230" s="4" t="str">
        <f>IF(A230&lt;=APP!$D$11*12,APP!$D$10,"")</f>
        <v/>
      </c>
      <c r="D230" s="4" t="str">
        <f>IF(A230&lt;=APP!$D$11*12,F229,"")</f>
        <v/>
      </c>
      <c r="E230" s="4" t="str">
        <f>IF(A230&lt;=APP!$D$11*12,D230*APP!$D$12,"")</f>
        <v/>
      </c>
      <c r="F230" s="4" t="str">
        <f>IF(A230&lt;=APP!$D$11*12,D230+E230+C230,"")</f>
        <v/>
      </c>
      <c r="G230" s="4" t="str">
        <f>IF(A230&lt;=APP!$D$11*12,F230*APP!$D$6,"")</f>
        <v/>
      </c>
    </row>
    <row r="231" spans="1:7" x14ac:dyDescent="0.3">
      <c r="A231" s="2">
        <f t="shared" si="3"/>
        <v>229</v>
      </c>
      <c r="B231" s="3" t="str">
        <f>IF(A231&lt;=APP!$D$11*12,EDATE(B230,1),"")</f>
        <v/>
      </c>
      <c r="C231" s="4" t="str">
        <f>IF(A231&lt;=APP!$D$11*12,APP!$D$10,"")</f>
        <v/>
      </c>
      <c r="D231" s="4" t="str">
        <f>IF(A231&lt;=APP!$D$11*12,F230,"")</f>
        <v/>
      </c>
      <c r="E231" s="4" t="str">
        <f>IF(A231&lt;=APP!$D$11*12,D231*APP!$D$12,"")</f>
        <v/>
      </c>
      <c r="F231" s="4" t="str">
        <f>IF(A231&lt;=APP!$D$11*12,D231+E231+C231,"")</f>
        <v/>
      </c>
      <c r="G231" s="4" t="str">
        <f>IF(A231&lt;=APP!$D$11*12,F231*APP!$D$6,"")</f>
        <v/>
      </c>
    </row>
    <row r="232" spans="1:7" x14ac:dyDescent="0.3">
      <c r="A232" s="2">
        <f t="shared" si="3"/>
        <v>230</v>
      </c>
      <c r="B232" s="3" t="str">
        <f>IF(A232&lt;=APP!$D$11*12,EDATE(B231,1),"")</f>
        <v/>
      </c>
      <c r="C232" s="4" t="str">
        <f>IF(A232&lt;=APP!$D$11*12,APP!$D$10,"")</f>
        <v/>
      </c>
      <c r="D232" s="4" t="str">
        <f>IF(A232&lt;=APP!$D$11*12,F231,"")</f>
        <v/>
      </c>
      <c r="E232" s="4" t="str">
        <f>IF(A232&lt;=APP!$D$11*12,D232*APP!$D$12,"")</f>
        <v/>
      </c>
      <c r="F232" s="4" t="str">
        <f>IF(A232&lt;=APP!$D$11*12,D232+E232+C232,"")</f>
        <v/>
      </c>
      <c r="G232" s="4" t="str">
        <f>IF(A232&lt;=APP!$D$11*12,F232*APP!$D$6,"")</f>
        <v/>
      </c>
    </row>
    <row r="233" spans="1:7" x14ac:dyDescent="0.3">
      <c r="A233" s="2">
        <f t="shared" si="3"/>
        <v>231</v>
      </c>
      <c r="B233" s="3" t="str">
        <f>IF(A233&lt;=APP!$D$11*12,EDATE(B232,1),"")</f>
        <v/>
      </c>
      <c r="C233" s="4" t="str">
        <f>IF(A233&lt;=APP!$D$11*12,APP!$D$10,"")</f>
        <v/>
      </c>
      <c r="D233" s="4" t="str">
        <f>IF(A233&lt;=APP!$D$11*12,F232,"")</f>
        <v/>
      </c>
      <c r="E233" s="4" t="str">
        <f>IF(A233&lt;=APP!$D$11*12,D233*APP!$D$12,"")</f>
        <v/>
      </c>
      <c r="F233" s="4" t="str">
        <f>IF(A233&lt;=APP!$D$11*12,D233+E233+C233,"")</f>
        <v/>
      </c>
      <c r="G233" s="4" t="str">
        <f>IF(A233&lt;=APP!$D$11*12,F233*APP!$D$6,"")</f>
        <v/>
      </c>
    </row>
    <row r="234" spans="1:7" x14ac:dyDescent="0.3">
      <c r="A234" s="2">
        <f t="shared" si="3"/>
        <v>232</v>
      </c>
      <c r="B234" s="3" t="str">
        <f>IF(A234&lt;=APP!$D$11*12,EDATE(B233,1),"")</f>
        <v/>
      </c>
      <c r="C234" s="4" t="str">
        <f>IF(A234&lt;=APP!$D$11*12,APP!$D$10,"")</f>
        <v/>
      </c>
      <c r="D234" s="4" t="str">
        <f>IF(A234&lt;=APP!$D$11*12,F233,"")</f>
        <v/>
      </c>
      <c r="E234" s="4" t="str">
        <f>IF(A234&lt;=APP!$D$11*12,D234*APP!$D$12,"")</f>
        <v/>
      </c>
      <c r="F234" s="4" t="str">
        <f>IF(A234&lt;=APP!$D$11*12,D234+E234+C234,"")</f>
        <v/>
      </c>
      <c r="G234" s="4" t="str">
        <f>IF(A234&lt;=APP!$D$11*12,F234*APP!$D$6,"")</f>
        <v/>
      </c>
    </row>
    <row r="235" spans="1:7" x14ac:dyDescent="0.3">
      <c r="A235" s="2">
        <f t="shared" si="3"/>
        <v>233</v>
      </c>
      <c r="B235" s="3" t="str">
        <f>IF(A235&lt;=APP!$D$11*12,EDATE(B234,1),"")</f>
        <v/>
      </c>
      <c r="C235" s="4" t="str">
        <f>IF(A235&lt;=APP!$D$11*12,APP!$D$10,"")</f>
        <v/>
      </c>
      <c r="D235" s="4" t="str">
        <f>IF(A235&lt;=APP!$D$11*12,F234,"")</f>
        <v/>
      </c>
      <c r="E235" s="4" t="str">
        <f>IF(A235&lt;=APP!$D$11*12,D235*APP!$D$12,"")</f>
        <v/>
      </c>
      <c r="F235" s="4" t="str">
        <f>IF(A235&lt;=APP!$D$11*12,D235+E235+C235,"")</f>
        <v/>
      </c>
      <c r="G235" s="4" t="str">
        <f>IF(A235&lt;=APP!$D$11*12,F235*APP!$D$6,"")</f>
        <v/>
      </c>
    </row>
    <row r="236" spans="1:7" x14ac:dyDescent="0.3">
      <c r="A236" s="2">
        <f t="shared" si="3"/>
        <v>234</v>
      </c>
      <c r="B236" s="3" t="str">
        <f>IF(A236&lt;=APP!$D$11*12,EDATE(B235,1),"")</f>
        <v/>
      </c>
      <c r="C236" s="4" t="str">
        <f>IF(A236&lt;=APP!$D$11*12,APP!$D$10,"")</f>
        <v/>
      </c>
      <c r="D236" s="4" t="str">
        <f>IF(A236&lt;=APP!$D$11*12,F235,"")</f>
        <v/>
      </c>
      <c r="E236" s="4" t="str">
        <f>IF(A236&lt;=APP!$D$11*12,D236*APP!$D$12,"")</f>
        <v/>
      </c>
      <c r="F236" s="4" t="str">
        <f>IF(A236&lt;=APP!$D$11*12,D236+E236+C236,"")</f>
        <v/>
      </c>
      <c r="G236" s="4" t="str">
        <f>IF(A236&lt;=APP!$D$11*12,F236*APP!$D$6,"")</f>
        <v/>
      </c>
    </row>
    <row r="237" spans="1:7" x14ac:dyDescent="0.3">
      <c r="A237" s="2">
        <f t="shared" si="3"/>
        <v>235</v>
      </c>
      <c r="B237" s="3" t="str">
        <f>IF(A237&lt;=APP!$D$11*12,EDATE(B236,1),"")</f>
        <v/>
      </c>
      <c r="C237" s="4" t="str">
        <f>IF(A237&lt;=APP!$D$11*12,APP!$D$10,"")</f>
        <v/>
      </c>
      <c r="D237" s="4" t="str">
        <f>IF(A237&lt;=APP!$D$11*12,F236,"")</f>
        <v/>
      </c>
      <c r="E237" s="4" t="str">
        <f>IF(A237&lt;=APP!$D$11*12,D237*APP!$D$12,"")</f>
        <v/>
      </c>
      <c r="F237" s="4" t="str">
        <f>IF(A237&lt;=APP!$D$11*12,D237+E237+C237,"")</f>
        <v/>
      </c>
      <c r="G237" s="4" t="str">
        <f>IF(A237&lt;=APP!$D$11*12,F237*APP!$D$6,"")</f>
        <v/>
      </c>
    </row>
    <row r="238" spans="1:7" x14ac:dyDescent="0.3">
      <c r="A238" s="2">
        <f t="shared" si="3"/>
        <v>236</v>
      </c>
      <c r="B238" s="3" t="str">
        <f>IF(A238&lt;=APP!$D$11*12,EDATE(B237,1),"")</f>
        <v/>
      </c>
      <c r="C238" s="4" t="str">
        <f>IF(A238&lt;=APP!$D$11*12,APP!$D$10,"")</f>
        <v/>
      </c>
      <c r="D238" s="4" t="str">
        <f>IF(A238&lt;=APP!$D$11*12,F237,"")</f>
        <v/>
      </c>
      <c r="E238" s="4" t="str">
        <f>IF(A238&lt;=APP!$D$11*12,D238*APP!$D$12,"")</f>
        <v/>
      </c>
      <c r="F238" s="4" t="str">
        <f>IF(A238&lt;=APP!$D$11*12,D238+E238+C238,"")</f>
        <v/>
      </c>
      <c r="G238" s="4" t="str">
        <f>IF(A238&lt;=APP!$D$11*12,F238*APP!$D$6,"")</f>
        <v/>
      </c>
    </row>
    <row r="239" spans="1:7" x14ac:dyDescent="0.3">
      <c r="A239" s="2">
        <f t="shared" si="3"/>
        <v>237</v>
      </c>
      <c r="B239" s="3" t="str">
        <f>IF(A239&lt;=APP!$D$11*12,EDATE(B238,1),"")</f>
        <v/>
      </c>
      <c r="C239" s="4" t="str">
        <f>IF(A239&lt;=APP!$D$11*12,APP!$D$10,"")</f>
        <v/>
      </c>
      <c r="D239" s="4" t="str">
        <f>IF(A239&lt;=APP!$D$11*12,F238,"")</f>
        <v/>
      </c>
      <c r="E239" s="4" t="str">
        <f>IF(A239&lt;=APP!$D$11*12,D239*APP!$D$12,"")</f>
        <v/>
      </c>
      <c r="F239" s="4" t="str">
        <f>IF(A239&lt;=APP!$D$11*12,D239+E239+C239,"")</f>
        <v/>
      </c>
      <c r="G239" s="4" t="str">
        <f>IF(A239&lt;=APP!$D$11*12,F239*APP!$D$6,"")</f>
        <v/>
      </c>
    </row>
    <row r="240" spans="1:7" x14ac:dyDescent="0.3">
      <c r="A240" s="2">
        <f t="shared" si="3"/>
        <v>238</v>
      </c>
      <c r="B240" s="3" t="str">
        <f>IF(A240&lt;=APP!$D$11*12,EDATE(B239,1),"")</f>
        <v/>
      </c>
      <c r="C240" s="4" t="str">
        <f>IF(A240&lt;=APP!$D$11*12,APP!$D$10,"")</f>
        <v/>
      </c>
      <c r="D240" s="4" t="str">
        <f>IF(A240&lt;=APP!$D$11*12,F239,"")</f>
        <v/>
      </c>
      <c r="E240" s="4" t="str">
        <f>IF(A240&lt;=APP!$D$11*12,D240*APP!$D$12,"")</f>
        <v/>
      </c>
      <c r="F240" s="4" t="str">
        <f>IF(A240&lt;=APP!$D$11*12,D240+E240+C240,"")</f>
        <v/>
      </c>
      <c r="G240" s="4" t="str">
        <f>IF(A240&lt;=APP!$D$11*12,F240*APP!$D$6,"")</f>
        <v/>
      </c>
    </row>
    <row r="241" spans="1:7" x14ac:dyDescent="0.3">
      <c r="A241" s="2">
        <f t="shared" si="3"/>
        <v>239</v>
      </c>
      <c r="B241" s="3" t="str">
        <f>IF(A241&lt;=APP!$D$11*12,EDATE(B240,1),"")</f>
        <v/>
      </c>
      <c r="C241" s="4" t="str">
        <f>IF(A241&lt;=APP!$D$11*12,APP!$D$10,"")</f>
        <v/>
      </c>
      <c r="D241" s="4" t="str">
        <f>IF(A241&lt;=APP!$D$11*12,F240,"")</f>
        <v/>
      </c>
      <c r="E241" s="4" t="str">
        <f>IF(A241&lt;=APP!$D$11*12,D241*APP!$D$12,"")</f>
        <v/>
      </c>
      <c r="F241" s="4" t="str">
        <f>IF(A241&lt;=APP!$D$11*12,D241+E241+C241,"")</f>
        <v/>
      </c>
      <c r="G241" s="4" t="str">
        <f>IF(A241&lt;=APP!$D$11*12,F241*APP!$D$6,"")</f>
        <v/>
      </c>
    </row>
    <row r="242" spans="1:7" x14ac:dyDescent="0.3">
      <c r="A242" s="2">
        <f t="shared" si="3"/>
        <v>240</v>
      </c>
      <c r="B242" s="3" t="str">
        <f>IF(A242&lt;=APP!$D$11*12,EDATE(B241,1),"")</f>
        <v/>
      </c>
      <c r="C242" s="4" t="str">
        <f>IF(A242&lt;=APP!$D$11*12,APP!$D$10,"")</f>
        <v/>
      </c>
      <c r="D242" s="4" t="str">
        <f>IF(A242&lt;=APP!$D$11*12,F241,"")</f>
        <v/>
      </c>
      <c r="E242" s="4" t="str">
        <f>IF(A242&lt;=APP!$D$11*12,D242*APP!$D$12,"")</f>
        <v/>
      </c>
      <c r="F242" s="4" t="str">
        <f>IF(A242&lt;=APP!$D$11*12,D242+E242+C242,"")</f>
        <v/>
      </c>
      <c r="G242" s="4" t="str">
        <f>IF(A242&lt;=APP!$D$11*12,F242*APP!$D$6,"")</f>
        <v/>
      </c>
    </row>
    <row r="243" spans="1:7" x14ac:dyDescent="0.3">
      <c r="A243" s="2">
        <f t="shared" si="3"/>
        <v>241</v>
      </c>
      <c r="B243" s="3" t="str">
        <f>IF(A243&lt;=APP!$D$11*12,EDATE(B242,1),"")</f>
        <v/>
      </c>
      <c r="C243" s="4" t="str">
        <f>IF(A243&lt;=APP!$D$11*12,APP!$D$10,"")</f>
        <v/>
      </c>
      <c r="D243" s="4" t="str">
        <f>IF(A243&lt;=APP!$D$11*12,F242,"")</f>
        <v/>
      </c>
      <c r="E243" s="4" t="str">
        <f>IF(A243&lt;=APP!$D$11*12,D243*APP!$D$12,"")</f>
        <v/>
      </c>
      <c r="F243" s="4" t="str">
        <f>IF(A243&lt;=APP!$D$11*12,D243+E243+C243,"")</f>
        <v/>
      </c>
      <c r="G243" s="4" t="str">
        <f>IF(A243&lt;=APP!$D$11*12,F243*APP!$D$6,"")</f>
        <v/>
      </c>
    </row>
    <row r="244" spans="1:7" x14ac:dyDescent="0.3">
      <c r="A244" s="2">
        <f t="shared" si="3"/>
        <v>242</v>
      </c>
      <c r="B244" s="3" t="str">
        <f>IF(A244&lt;=APP!$D$11*12,EDATE(B243,1),"")</f>
        <v/>
      </c>
      <c r="C244" s="4" t="str">
        <f>IF(A244&lt;=APP!$D$11*12,APP!$D$10,"")</f>
        <v/>
      </c>
      <c r="D244" s="4" t="str">
        <f>IF(A244&lt;=APP!$D$11*12,F243,"")</f>
        <v/>
      </c>
      <c r="E244" s="4" t="str">
        <f>IF(A244&lt;=APP!$D$11*12,D244*APP!$D$12,"")</f>
        <v/>
      </c>
      <c r="F244" s="4" t="str">
        <f>IF(A244&lt;=APP!$D$11*12,D244+E244+C244,"")</f>
        <v/>
      </c>
      <c r="G244" s="4" t="str">
        <f>IF(A244&lt;=APP!$D$11*12,F244*APP!$D$6,"")</f>
        <v/>
      </c>
    </row>
    <row r="245" spans="1:7" x14ac:dyDescent="0.3">
      <c r="A245" s="2">
        <f t="shared" si="3"/>
        <v>243</v>
      </c>
      <c r="B245" s="3" t="str">
        <f>IF(A245&lt;=APP!$D$11*12,EDATE(B244,1),"")</f>
        <v/>
      </c>
      <c r="C245" s="4" t="str">
        <f>IF(A245&lt;=APP!$D$11*12,APP!$D$10,"")</f>
        <v/>
      </c>
      <c r="D245" s="4" t="str">
        <f>IF(A245&lt;=APP!$D$11*12,F244,"")</f>
        <v/>
      </c>
      <c r="E245" s="4" t="str">
        <f>IF(A245&lt;=APP!$D$11*12,D245*APP!$D$12,"")</f>
        <v/>
      </c>
      <c r="F245" s="4" t="str">
        <f>IF(A245&lt;=APP!$D$11*12,D245+E245+C245,"")</f>
        <v/>
      </c>
      <c r="G245" s="4" t="str">
        <f>IF(A245&lt;=APP!$D$11*12,F245*APP!$D$6,"")</f>
        <v/>
      </c>
    </row>
    <row r="246" spans="1:7" x14ac:dyDescent="0.3">
      <c r="A246" s="2">
        <f t="shared" si="3"/>
        <v>244</v>
      </c>
      <c r="B246" s="3" t="str">
        <f>IF(A246&lt;=APP!$D$11*12,EDATE(B245,1),"")</f>
        <v/>
      </c>
      <c r="C246" s="4" t="str">
        <f>IF(A246&lt;=APP!$D$11*12,APP!$D$10,"")</f>
        <v/>
      </c>
      <c r="D246" s="4" t="str">
        <f>IF(A246&lt;=APP!$D$11*12,F245,"")</f>
        <v/>
      </c>
      <c r="E246" s="4" t="str">
        <f>IF(A246&lt;=APP!$D$11*12,D246*APP!$D$12,"")</f>
        <v/>
      </c>
      <c r="F246" s="4" t="str">
        <f>IF(A246&lt;=APP!$D$11*12,D246+E246+C246,"")</f>
        <v/>
      </c>
      <c r="G246" s="4" t="str">
        <f>IF(A246&lt;=APP!$D$11*12,F246*APP!$D$6,"")</f>
        <v/>
      </c>
    </row>
    <row r="247" spans="1:7" x14ac:dyDescent="0.3">
      <c r="A247" s="2">
        <f t="shared" si="3"/>
        <v>245</v>
      </c>
      <c r="B247" s="3" t="str">
        <f>IF(A247&lt;=APP!$D$11*12,EDATE(B246,1),"")</f>
        <v/>
      </c>
      <c r="C247" s="4" t="str">
        <f>IF(A247&lt;=APP!$D$11*12,APP!$D$10,"")</f>
        <v/>
      </c>
      <c r="D247" s="4" t="str">
        <f>IF(A247&lt;=APP!$D$11*12,F246,"")</f>
        <v/>
      </c>
      <c r="E247" s="4" t="str">
        <f>IF(A247&lt;=APP!$D$11*12,D247*APP!$D$12,"")</f>
        <v/>
      </c>
      <c r="F247" s="4" t="str">
        <f>IF(A247&lt;=APP!$D$11*12,D247+E247+C247,"")</f>
        <v/>
      </c>
      <c r="G247" s="4" t="str">
        <f>IF(A247&lt;=APP!$D$11*12,F247*APP!$D$6,"")</f>
        <v/>
      </c>
    </row>
    <row r="248" spans="1:7" x14ac:dyDescent="0.3">
      <c r="A248" s="2">
        <f t="shared" si="3"/>
        <v>246</v>
      </c>
      <c r="B248" s="3" t="str">
        <f>IF(A248&lt;=APP!$D$11*12,EDATE(B247,1),"")</f>
        <v/>
      </c>
      <c r="C248" s="4" t="str">
        <f>IF(A248&lt;=APP!$D$11*12,APP!$D$10,"")</f>
        <v/>
      </c>
      <c r="D248" s="4" t="str">
        <f>IF(A248&lt;=APP!$D$11*12,F247,"")</f>
        <v/>
      </c>
      <c r="E248" s="4" t="str">
        <f>IF(A248&lt;=APP!$D$11*12,D248*APP!$D$12,"")</f>
        <v/>
      </c>
      <c r="F248" s="4" t="str">
        <f>IF(A248&lt;=APP!$D$11*12,D248+E248+C248,"")</f>
        <v/>
      </c>
      <c r="G248" s="4" t="str">
        <f>IF(A248&lt;=APP!$D$11*12,F248*APP!$D$6,"")</f>
        <v/>
      </c>
    </row>
    <row r="249" spans="1:7" x14ac:dyDescent="0.3">
      <c r="A249" s="2">
        <f t="shared" si="3"/>
        <v>247</v>
      </c>
      <c r="B249" s="3" t="str">
        <f>IF(A249&lt;=APP!$D$11*12,EDATE(B248,1),"")</f>
        <v/>
      </c>
      <c r="C249" s="4" t="str">
        <f>IF(A249&lt;=APP!$D$11*12,APP!$D$10,"")</f>
        <v/>
      </c>
      <c r="D249" s="4" t="str">
        <f>IF(A249&lt;=APP!$D$11*12,F248,"")</f>
        <v/>
      </c>
      <c r="E249" s="4" t="str">
        <f>IF(A249&lt;=APP!$D$11*12,D249*APP!$D$12,"")</f>
        <v/>
      </c>
      <c r="F249" s="4" t="str">
        <f>IF(A249&lt;=APP!$D$11*12,D249+E249+C249,"")</f>
        <v/>
      </c>
      <c r="G249" s="4" t="str">
        <f>IF(A249&lt;=APP!$D$11*12,F249*APP!$D$6,"")</f>
        <v/>
      </c>
    </row>
    <row r="250" spans="1:7" x14ac:dyDescent="0.3">
      <c r="A250" s="2">
        <f t="shared" si="3"/>
        <v>248</v>
      </c>
      <c r="B250" s="3" t="str">
        <f>IF(A250&lt;=APP!$D$11*12,EDATE(B249,1),"")</f>
        <v/>
      </c>
      <c r="C250" s="4" t="str">
        <f>IF(A250&lt;=APP!$D$11*12,APP!$D$10,"")</f>
        <v/>
      </c>
      <c r="D250" s="4" t="str">
        <f>IF(A250&lt;=APP!$D$11*12,F249,"")</f>
        <v/>
      </c>
      <c r="E250" s="4" t="str">
        <f>IF(A250&lt;=APP!$D$11*12,D250*APP!$D$12,"")</f>
        <v/>
      </c>
      <c r="F250" s="4" t="str">
        <f>IF(A250&lt;=APP!$D$11*12,D250+E250+C250,"")</f>
        <v/>
      </c>
      <c r="G250" s="4" t="str">
        <f>IF(A250&lt;=APP!$D$11*12,F250*APP!$D$6,"")</f>
        <v/>
      </c>
    </row>
    <row r="251" spans="1:7" x14ac:dyDescent="0.3">
      <c r="A251" s="2">
        <f t="shared" si="3"/>
        <v>249</v>
      </c>
      <c r="B251" s="3" t="str">
        <f>IF(A251&lt;=APP!$D$11*12,EDATE(B250,1),"")</f>
        <v/>
      </c>
      <c r="C251" s="4" t="str">
        <f>IF(A251&lt;=APP!$D$11*12,APP!$D$10,"")</f>
        <v/>
      </c>
      <c r="D251" s="4" t="str">
        <f>IF(A251&lt;=APP!$D$11*12,F250,"")</f>
        <v/>
      </c>
      <c r="E251" s="4" t="str">
        <f>IF(A251&lt;=APP!$D$11*12,D251*APP!$D$12,"")</f>
        <v/>
      </c>
      <c r="F251" s="4" t="str">
        <f>IF(A251&lt;=APP!$D$11*12,D251+E251+C251,"")</f>
        <v/>
      </c>
      <c r="G251" s="4" t="str">
        <f>IF(A251&lt;=APP!$D$11*12,F251*APP!$D$6,"")</f>
        <v/>
      </c>
    </row>
    <row r="252" spans="1:7" x14ac:dyDescent="0.3">
      <c r="A252" s="2">
        <f t="shared" si="3"/>
        <v>250</v>
      </c>
      <c r="B252" s="3" t="str">
        <f>IF(A252&lt;=APP!$D$11*12,EDATE(B251,1),"")</f>
        <v/>
      </c>
      <c r="C252" s="4" t="str">
        <f>IF(A252&lt;=APP!$D$11*12,APP!$D$10,"")</f>
        <v/>
      </c>
      <c r="D252" s="4" t="str">
        <f>IF(A252&lt;=APP!$D$11*12,F251,"")</f>
        <v/>
      </c>
      <c r="E252" s="4" t="str">
        <f>IF(A252&lt;=APP!$D$11*12,D252*APP!$D$12,"")</f>
        <v/>
      </c>
      <c r="F252" s="4" t="str">
        <f>IF(A252&lt;=APP!$D$11*12,D252+E252+C252,"")</f>
        <v/>
      </c>
      <c r="G252" s="4" t="str">
        <f>IF(A252&lt;=APP!$D$11*12,F252*APP!$D$6,"")</f>
        <v/>
      </c>
    </row>
    <row r="253" spans="1:7" x14ac:dyDescent="0.3">
      <c r="A253" s="2">
        <f t="shared" si="3"/>
        <v>251</v>
      </c>
      <c r="B253" s="3" t="str">
        <f>IF(A253&lt;=APP!$D$11*12,EDATE(B252,1),"")</f>
        <v/>
      </c>
      <c r="C253" s="4" t="str">
        <f>IF(A253&lt;=APP!$D$11*12,APP!$D$10,"")</f>
        <v/>
      </c>
      <c r="D253" s="4" t="str">
        <f>IF(A253&lt;=APP!$D$11*12,F252,"")</f>
        <v/>
      </c>
      <c r="E253" s="4" t="str">
        <f>IF(A253&lt;=APP!$D$11*12,D253*APP!$D$12,"")</f>
        <v/>
      </c>
      <c r="F253" s="4" t="str">
        <f>IF(A253&lt;=APP!$D$11*12,D253+E253+C253,"")</f>
        <v/>
      </c>
      <c r="G253" s="4" t="str">
        <f>IF(A253&lt;=APP!$D$11*12,F253*APP!$D$6,"")</f>
        <v/>
      </c>
    </row>
    <row r="254" spans="1:7" x14ac:dyDescent="0.3">
      <c r="A254" s="2">
        <f t="shared" si="3"/>
        <v>252</v>
      </c>
      <c r="B254" s="3" t="str">
        <f>IF(A254&lt;=APP!$D$11*12,EDATE(B253,1),"")</f>
        <v/>
      </c>
      <c r="C254" s="4" t="str">
        <f>IF(A254&lt;=APP!$D$11*12,APP!$D$10,"")</f>
        <v/>
      </c>
      <c r="D254" s="4" t="str">
        <f>IF(A254&lt;=APP!$D$11*12,F253,"")</f>
        <v/>
      </c>
      <c r="E254" s="4" t="str">
        <f>IF(A254&lt;=APP!$D$11*12,D254*APP!$D$12,"")</f>
        <v/>
      </c>
      <c r="F254" s="4" t="str">
        <f>IF(A254&lt;=APP!$D$11*12,D254+E254+C254,"")</f>
        <v/>
      </c>
      <c r="G254" s="4" t="str">
        <f>IF(A254&lt;=APP!$D$11*12,F254*APP!$D$6,"")</f>
        <v/>
      </c>
    </row>
    <row r="255" spans="1:7" x14ac:dyDescent="0.3">
      <c r="A255" s="2">
        <f t="shared" si="3"/>
        <v>253</v>
      </c>
      <c r="B255" s="3" t="str">
        <f>IF(A255&lt;=APP!$D$11*12,EDATE(B254,1),"")</f>
        <v/>
      </c>
      <c r="C255" s="4" t="str">
        <f>IF(A255&lt;=APP!$D$11*12,APP!$D$10,"")</f>
        <v/>
      </c>
      <c r="D255" s="4" t="str">
        <f>IF(A255&lt;=APP!$D$11*12,F254,"")</f>
        <v/>
      </c>
      <c r="E255" s="4" t="str">
        <f>IF(A255&lt;=APP!$D$11*12,D255*APP!$D$12,"")</f>
        <v/>
      </c>
      <c r="F255" s="4" t="str">
        <f>IF(A255&lt;=APP!$D$11*12,D255+E255+C255,"")</f>
        <v/>
      </c>
      <c r="G255" s="4" t="str">
        <f>IF(A255&lt;=APP!$D$11*12,F255*APP!$D$6,"")</f>
        <v/>
      </c>
    </row>
    <row r="256" spans="1:7" x14ac:dyDescent="0.3">
      <c r="A256" s="2">
        <f t="shared" si="3"/>
        <v>254</v>
      </c>
      <c r="B256" s="3" t="str">
        <f>IF(A256&lt;=APP!$D$11*12,EDATE(B255,1),"")</f>
        <v/>
      </c>
      <c r="C256" s="4" t="str">
        <f>IF(A256&lt;=APP!$D$11*12,APP!$D$10,"")</f>
        <v/>
      </c>
      <c r="D256" s="4" t="str">
        <f>IF(A256&lt;=APP!$D$11*12,F255,"")</f>
        <v/>
      </c>
      <c r="E256" s="4" t="str">
        <f>IF(A256&lt;=APP!$D$11*12,D256*APP!$D$12,"")</f>
        <v/>
      </c>
      <c r="F256" s="4" t="str">
        <f>IF(A256&lt;=APP!$D$11*12,D256+E256+C256,"")</f>
        <v/>
      </c>
      <c r="G256" s="4" t="str">
        <f>IF(A256&lt;=APP!$D$11*12,F256*APP!$D$6,"")</f>
        <v/>
      </c>
    </row>
    <row r="257" spans="1:7" x14ac:dyDescent="0.3">
      <c r="A257" s="2">
        <f t="shared" si="3"/>
        <v>255</v>
      </c>
      <c r="B257" s="3" t="str">
        <f>IF(A257&lt;=APP!$D$11*12,EDATE(B256,1),"")</f>
        <v/>
      </c>
      <c r="C257" s="4" t="str">
        <f>IF(A257&lt;=APP!$D$11*12,APP!$D$10,"")</f>
        <v/>
      </c>
      <c r="D257" s="4" t="str">
        <f>IF(A257&lt;=APP!$D$11*12,F256,"")</f>
        <v/>
      </c>
      <c r="E257" s="4" t="str">
        <f>IF(A257&lt;=APP!$D$11*12,D257*APP!$D$12,"")</f>
        <v/>
      </c>
      <c r="F257" s="4" t="str">
        <f>IF(A257&lt;=APP!$D$11*12,D257+E257+C257,"")</f>
        <v/>
      </c>
      <c r="G257" s="4" t="str">
        <f>IF(A257&lt;=APP!$D$11*12,F257*APP!$D$6,"")</f>
        <v/>
      </c>
    </row>
    <row r="258" spans="1:7" x14ac:dyDescent="0.3">
      <c r="A258" s="2">
        <f t="shared" si="3"/>
        <v>256</v>
      </c>
      <c r="B258" s="3" t="str">
        <f>IF(A258&lt;=APP!$D$11*12,EDATE(B257,1),"")</f>
        <v/>
      </c>
      <c r="C258" s="4" t="str">
        <f>IF(A258&lt;=APP!$D$11*12,APP!$D$10,"")</f>
        <v/>
      </c>
      <c r="D258" s="4" t="str">
        <f>IF(A258&lt;=APP!$D$11*12,F257,"")</f>
        <v/>
      </c>
      <c r="E258" s="4" t="str">
        <f>IF(A258&lt;=APP!$D$11*12,D258*APP!$D$12,"")</f>
        <v/>
      </c>
      <c r="F258" s="4" t="str">
        <f>IF(A258&lt;=APP!$D$11*12,D258+E258+C258,"")</f>
        <v/>
      </c>
      <c r="G258" s="4" t="str">
        <f>IF(A258&lt;=APP!$D$11*12,F258*APP!$D$6,"")</f>
        <v/>
      </c>
    </row>
    <row r="259" spans="1:7" x14ac:dyDescent="0.3">
      <c r="A259" s="2">
        <f t="shared" si="3"/>
        <v>257</v>
      </c>
      <c r="B259" s="3" t="str">
        <f>IF(A259&lt;=APP!$D$11*12,EDATE(B258,1),"")</f>
        <v/>
      </c>
      <c r="C259" s="4" t="str">
        <f>IF(A259&lt;=APP!$D$11*12,APP!$D$10,"")</f>
        <v/>
      </c>
      <c r="D259" s="4" t="str">
        <f>IF(A259&lt;=APP!$D$11*12,F258,"")</f>
        <v/>
      </c>
      <c r="E259" s="4" t="str">
        <f>IF(A259&lt;=APP!$D$11*12,D259*APP!$D$12,"")</f>
        <v/>
      </c>
      <c r="F259" s="4" t="str">
        <f>IF(A259&lt;=APP!$D$11*12,D259+E259+C259,"")</f>
        <v/>
      </c>
      <c r="G259" s="4" t="str">
        <f>IF(A259&lt;=APP!$D$11*12,F259*APP!$D$6,"")</f>
        <v/>
      </c>
    </row>
    <row r="260" spans="1:7" x14ac:dyDescent="0.3">
      <c r="A260" s="2">
        <f t="shared" ref="A260:A323" si="4">A259+1</f>
        <v>258</v>
      </c>
      <c r="B260" s="3" t="str">
        <f>IF(A260&lt;=APP!$D$11*12,EDATE(B259,1),"")</f>
        <v/>
      </c>
      <c r="C260" s="4" t="str">
        <f>IF(A260&lt;=APP!$D$11*12,APP!$D$10,"")</f>
        <v/>
      </c>
      <c r="D260" s="4" t="str">
        <f>IF(A260&lt;=APP!$D$11*12,F259,"")</f>
        <v/>
      </c>
      <c r="E260" s="4" t="str">
        <f>IF(A260&lt;=APP!$D$11*12,D260*APP!$D$12,"")</f>
        <v/>
      </c>
      <c r="F260" s="4" t="str">
        <f>IF(A260&lt;=APP!$D$11*12,D260+E260+C260,"")</f>
        <v/>
      </c>
      <c r="G260" s="4" t="str">
        <f>IF(A260&lt;=APP!$D$11*12,F260*APP!$D$6,"")</f>
        <v/>
      </c>
    </row>
    <row r="261" spans="1:7" x14ac:dyDescent="0.3">
      <c r="A261" s="2">
        <f t="shared" si="4"/>
        <v>259</v>
      </c>
      <c r="B261" s="3" t="str">
        <f>IF(A261&lt;=APP!$D$11*12,EDATE(B260,1),"")</f>
        <v/>
      </c>
      <c r="C261" s="4" t="str">
        <f>IF(A261&lt;=APP!$D$11*12,APP!$D$10,"")</f>
        <v/>
      </c>
      <c r="D261" s="4" t="str">
        <f>IF(A261&lt;=APP!$D$11*12,F260,"")</f>
        <v/>
      </c>
      <c r="E261" s="4" t="str">
        <f>IF(A261&lt;=APP!$D$11*12,D261*APP!$D$12,"")</f>
        <v/>
      </c>
      <c r="F261" s="4" t="str">
        <f>IF(A261&lt;=APP!$D$11*12,D261+E261+C261,"")</f>
        <v/>
      </c>
      <c r="G261" s="4" t="str">
        <f>IF(A261&lt;=APP!$D$11*12,F261*APP!$D$6,"")</f>
        <v/>
      </c>
    </row>
    <row r="262" spans="1:7" x14ac:dyDescent="0.3">
      <c r="A262" s="2">
        <f t="shared" si="4"/>
        <v>260</v>
      </c>
      <c r="B262" s="3" t="str">
        <f>IF(A262&lt;=APP!$D$11*12,EDATE(B261,1),"")</f>
        <v/>
      </c>
      <c r="C262" s="4" t="str">
        <f>IF(A262&lt;=APP!$D$11*12,APP!$D$10,"")</f>
        <v/>
      </c>
      <c r="D262" s="4" t="str">
        <f>IF(A262&lt;=APP!$D$11*12,F261,"")</f>
        <v/>
      </c>
      <c r="E262" s="4" t="str">
        <f>IF(A262&lt;=APP!$D$11*12,D262*APP!$D$12,"")</f>
        <v/>
      </c>
      <c r="F262" s="4" t="str">
        <f>IF(A262&lt;=APP!$D$11*12,D262+E262+C262,"")</f>
        <v/>
      </c>
      <c r="G262" s="4" t="str">
        <f>IF(A262&lt;=APP!$D$11*12,F262*APP!$D$6,"")</f>
        <v/>
      </c>
    </row>
    <row r="263" spans="1:7" x14ac:dyDescent="0.3">
      <c r="A263" s="2">
        <f t="shared" si="4"/>
        <v>261</v>
      </c>
      <c r="B263" s="3" t="str">
        <f>IF(A263&lt;=APP!$D$11*12,EDATE(B262,1),"")</f>
        <v/>
      </c>
      <c r="C263" s="4" t="str">
        <f>IF(A263&lt;=APP!$D$11*12,APP!$D$10,"")</f>
        <v/>
      </c>
      <c r="D263" s="4" t="str">
        <f>IF(A263&lt;=APP!$D$11*12,F262,"")</f>
        <v/>
      </c>
      <c r="E263" s="4" t="str">
        <f>IF(A263&lt;=APP!$D$11*12,D263*APP!$D$12,"")</f>
        <v/>
      </c>
      <c r="F263" s="4" t="str">
        <f>IF(A263&lt;=APP!$D$11*12,D263+E263+C263,"")</f>
        <v/>
      </c>
      <c r="G263" s="4" t="str">
        <f>IF(A263&lt;=APP!$D$11*12,F263*APP!$D$6,"")</f>
        <v/>
      </c>
    </row>
    <row r="264" spans="1:7" x14ac:dyDescent="0.3">
      <c r="A264" s="2">
        <f t="shared" si="4"/>
        <v>262</v>
      </c>
      <c r="B264" s="3" t="str">
        <f>IF(A264&lt;=APP!$D$11*12,EDATE(B263,1),"")</f>
        <v/>
      </c>
      <c r="C264" s="4" t="str">
        <f>IF(A264&lt;=APP!$D$11*12,APP!$D$10,"")</f>
        <v/>
      </c>
      <c r="D264" s="4" t="str">
        <f>IF(A264&lt;=APP!$D$11*12,F263,"")</f>
        <v/>
      </c>
      <c r="E264" s="4" t="str">
        <f>IF(A264&lt;=APP!$D$11*12,D264*APP!$D$12,"")</f>
        <v/>
      </c>
      <c r="F264" s="4" t="str">
        <f>IF(A264&lt;=APP!$D$11*12,D264+E264+C264,"")</f>
        <v/>
      </c>
      <c r="G264" s="4" t="str">
        <f>IF(A264&lt;=APP!$D$11*12,F264*APP!$D$6,"")</f>
        <v/>
      </c>
    </row>
    <row r="265" spans="1:7" x14ac:dyDescent="0.3">
      <c r="A265" s="2">
        <f t="shared" si="4"/>
        <v>263</v>
      </c>
      <c r="B265" s="3" t="str">
        <f>IF(A265&lt;=APP!$D$11*12,EDATE(B264,1),"")</f>
        <v/>
      </c>
      <c r="C265" s="4" t="str">
        <f>IF(A265&lt;=APP!$D$11*12,APP!$D$10,"")</f>
        <v/>
      </c>
      <c r="D265" s="4" t="str">
        <f>IF(A265&lt;=APP!$D$11*12,F264,"")</f>
        <v/>
      </c>
      <c r="E265" s="4" t="str">
        <f>IF(A265&lt;=APP!$D$11*12,D265*APP!$D$12,"")</f>
        <v/>
      </c>
      <c r="F265" s="4" t="str">
        <f>IF(A265&lt;=APP!$D$11*12,D265+E265+C265,"")</f>
        <v/>
      </c>
      <c r="G265" s="4" t="str">
        <f>IF(A265&lt;=APP!$D$11*12,F265*APP!$D$6,"")</f>
        <v/>
      </c>
    </row>
    <row r="266" spans="1:7" x14ac:dyDescent="0.3">
      <c r="A266" s="2">
        <f t="shared" si="4"/>
        <v>264</v>
      </c>
      <c r="B266" s="3" t="str">
        <f>IF(A266&lt;=APP!$D$11*12,EDATE(B265,1),"")</f>
        <v/>
      </c>
      <c r="C266" s="4" t="str">
        <f>IF(A266&lt;=APP!$D$11*12,APP!$D$10,"")</f>
        <v/>
      </c>
      <c r="D266" s="4" t="str">
        <f>IF(A266&lt;=APP!$D$11*12,F265,"")</f>
        <v/>
      </c>
      <c r="E266" s="4" t="str">
        <f>IF(A266&lt;=APP!$D$11*12,D266*APP!$D$12,"")</f>
        <v/>
      </c>
      <c r="F266" s="4" t="str">
        <f>IF(A266&lt;=APP!$D$11*12,D266+E266+C266,"")</f>
        <v/>
      </c>
      <c r="G266" s="4" t="str">
        <f>IF(A266&lt;=APP!$D$11*12,F266*APP!$D$6,"")</f>
        <v/>
      </c>
    </row>
    <row r="267" spans="1:7" x14ac:dyDescent="0.3">
      <c r="A267" s="2">
        <f t="shared" si="4"/>
        <v>265</v>
      </c>
      <c r="B267" s="3" t="str">
        <f>IF(A267&lt;=APP!$D$11*12,EDATE(B266,1),"")</f>
        <v/>
      </c>
      <c r="C267" s="4" t="str">
        <f>IF(A267&lt;=APP!$D$11*12,APP!$D$10,"")</f>
        <v/>
      </c>
      <c r="D267" s="4" t="str">
        <f>IF(A267&lt;=APP!$D$11*12,F266,"")</f>
        <v/>
      </c>
      <c r="E267" s="4" t="str">
        <f>IF(A267&lt;=APP!$D$11*12,D267*APP!$D$12,"")</f>
        <v/>
      </c>
      <c r="F267" s="4" t="str">
        <f>IF(A267&lt;=APP!$D$11*12,D267+E267+C267,"")</f>
        <v/>
      </c>
      <c r="G267" s="4" t="str">
        <f>IF(A267&lt;=APP!$D$11*12,F267*APP!$D$6,"")</f>
        <v/>
      </c>
    </row>
    <row r="268" spans="1:7" x14ac:dyDescent="0.3">
      <c r="A268" s="2">
        <f t="shared" si="4"/>
        <v>266</v>
      </c>
      <c r="B268" s="3" t="str">
        <f>IF(A268&lt;=APP!$D$11*12,EDATE(B267,1),"")</f>
        <v/>
      </c>
      <c r="C268" s="4" t="str">
        <f>IF(A268&lt;=APP!$D$11*12,APP!$D$10,"")</f>
        <v/>
      </c>
      <c r="D268" s="4" t="str">
        <f>IF(A268&lt;=APP!$D$11*12,F267,"")</f>
        <v/>
      </c>
      <c r="E268" s="4" t="str">
        <f>IF(A268&lt;=APP!$D$11*12,D268*APP!$D$12,"")</f>
        <v/>
      </c>
      <c r="F268" s="4" t="str">
        <f>IF(A268&lt;=APP!$D$11*12,D268+E268+C268,"")</f>
        <v/>
      </c>
      <c r="G268" s="4" t="str">
        <f>IF(A268&lt;=APP!$D$11*12,F268*APP!$D$6,"")</f>
        <v/>
      </c>
    </row>
    <row r="269" spans="1:7" x14ac:dyDescent="0.3">
      <c r="A269" s="2">
        <f t="shared" si="4"/>
        <v>267</v>
      </c>
      <c r="B269" s="3" t="str">
        <f>IF(A269&lt;=APP!$D$11*12,EDATE(B268,1),"")</f>
        <v/>
      </c>
      <c r="C269" s="4" t="str">
        <f>IF(A269&lt;=APP!$D$11*12,APP!$D$10,"")</f>
        <v/>
      </c>
      <c r="D269" s="4" t="str">
        <f>IF(A269&lt;=APP!$D$11*12,F268,"")</f>
        <v/>
      </c>
      <c r="E269" s="4" t="str">
        <f>IF(A269&lt;=APP!$D$11*12,D269*APP!$D$12,"")</f>
        <v/>
      </c>
      <c r="F269" s="4" t="str">
        <f>IF(A269&lt;=APP!$D$11*12,D269+E269+C269,"")</f>
        <v/>
      </c>
      <c r="G269" s="4" t="str">
        <f>IF(A269&lt;=APP!$D$11*12,F269*APP!$D$6,"")</f>
        <v/>
      </c>
    </row>
    <row r="270" spans="1:7" x14ac:dyDescent="0.3">
      <c r="A270" s="2">
        <f t="shared" si="4"/>
        <v>268</v>
      </c>
      <c r="B270" s="3" t="str">
        <f>IF(A270&lt;=APP!$D$11*12,EDATE(B269,1),"")</f>
        <v/>
      </c>
      <c r="C270" s="4" t="str">
        <f>IF(A270&lt;=APP!$D$11*12,APP!$D$10,"")</f>
        <v/>
      </c>
      <c r="D270" s="4" t="str">
        <f>IF(A270&lt;=APP!$D$11*12,F269,"")</f>
        <v/>
      </c>
      <c r="E270" s="4" t="str">
        <f>IF(A270&lt;=APP!$D$11*12,D270*APP!$D$12,"")</f>
        <v/>
      </c>
      <c r="F270" s="4" t="str">
        <f>IF(A270&lt;=APP!$D$11*12,D270+E270+C270,"")</f>
        <v/>
      </c>
      <c r="G270" s="4" t="str">
        <f>IF(A270&lt;=APP!$D$11*12,F270*APP!$D$6,"")</f>
        <v/>
      </c>
    </row>
    <row r="271" spans="1:7" x14ac:dyDescent="0.3">
      <c r="A271" s="2">
        <f t="shared" si="4"/>
        <v>269</v>
      </c>
      <c r="B271" s="3" t="str">
        <f>IF(A271&lt;=APP!$D$11*12,EDATE(B270,1),"")</f>
        <v/>
      </c>
      <c r="C271" s="4" t="str">
        <f>IF(A271&lt;=APP!$D$11*12,APP!$D$10,"")</f>
        <v/>
      </c>
      <c r="D271" s="4" t="str">
        <f>IF(A271&lt;=APP!$D$11*12,F270,"")</f>
        <v/>
      </c>
      <c r="E271" s="4" t="str">
        <f>IF(A271&lt;=APP!$D$11*12,D271*APP!$D$12,"")</f>
        <v/>
      </c>
      <c r="F271" s="4" t="str">
        <f>IF(A271&lt;=APP!$D$11*12,D271+E271+C271,"")</f>
        <v/>
      </c>
      <c r="G271" s="4" t="str">
        <f>IF(A271&lt;=APP!$D$11*12,F271*APP!$D$6,"")</f>
        <v/>
      </c>
    </row>
    <row r="272" spans="1:7" x14ac:dyDescent="0.3">
      <c r="A272" s="2">
        <f t="shared" si="4"/>
        <v>270</v>
      </c>
      <c r="B272" s="3" t="str">
        <f>IF(A272&lt;=APP!$D$11*12,EDATE(B271,1),"")</f>
        <v/>
      </c>
      <c r="C272" s="4" t="str">
        <f>IF(A272&lt;=APP!$D$11*12,APP!$D$10,"")</f>
        <v/>
      </c>
      <c r="D272" s="4" t="str">
        <f>IF(A272&lt;=APP!$D$11*12,F271,"")</f>
        <v/>
      </c>
      <c r="E272" s="4" t="str">
        <f>IF(A272&lt;=APP!$D$11*12,D272*APP!$D$12,"")</f>
        <v/>
      </c>
      <c r="F272" s="4" t="str">
        <f>IF(A272&lt;=APP!$D$11*12,D272+E272+C272,"")</f>
        <v/>
      </c>
      <c r="G272" s="4" t="str">
        <f>IF(A272&lt;=APP!$D$11*12,F272*APP!$D$6,"")</f>
        <v/>
      </c>
    </row>
    <row r="273" spans="1:7" x14ac:dyDescent="0.3">
      <c r="A273" s="2">
        <f t="shared" si="4"/>
        <v>271</v>
      </c>
      <c r="B273" s="3" t="str">
        <f>IF(A273&lt;=APP!$D$11*12,EDATE(B272,1),"")</f>
        <v/>
      </c>
      <c r="C273" s="4" t="str">
        <f>IF(A273&lt;=APP!$D$11*12,APP!$D$10,"")</f>
        <v/>
      </c>
      <c r="D273" s="4" t="str">
        <f>IF(A273&lt;=APP!$D$11*12,F272,"")</f>
        <v/>
      </c>
      <c r="E273" s="4" t="str">
        <f>IF(A273&lt;=APP!$D$11*12,D273*APP!$D$12,"")</f>
        <v/>
      </c>
      <c r="F273" s="4" t="str">
        <f>IF(A273&lt;=APP!$D$11*12,D273+E273+C273,"")</f>
        <v/>
      </c>
      <c r="G273" s="4" t="str">
        <f>IF(A273&lt;=APP!$D$11*12,F273*APP!$D$6,"")</f>
        <v/>
      </c>
    </row>
    <row r="274" spans="1:7" x14ac:dyDescent="0.3">
      <c r="A274" s="2">
        <f t="shared" si="4"/>
        <v>272</v>
      </c>
      <c r="B274" s="3" t="str">
        <f>IF(A274&lt;=APP!$D$11*12,EDATE(B273,1),"")</f>
        <v/>
      </c>
      <c r="C274" s="4" t="str">
        <f>IF(A274&lt;=APP!$D$11*12,APP!$D$10,"")</f>
        <v/>
      </c>
      <c r="D274" s="4" t="str">
        <f>IF(A274&lt;=APP!$D$11*12,F273,"")</f>
        <v/>
      </c>
      <c r="E274" s="4" t="str">
        <f>IF(A274&lt;=APP!$D$11*12,D274*APP!$D$12,"")</f>
        <v/>
      </c>
      <c r="F274" s="4" t="str">
        <f>IF(A274&lt;=APP!$D$11*12,D274+E274+C274,"")</f>
        <v/>
      </c>
      <c r="G274" s="4" t="str">
        <f>IF(A274&lt;=APP!$D$11*12,F274*APP!$D$6,"")</f>
        <v/>
      </c>
    </row>
    <row r="275" spans="1:7" x14ac:dyDescent="0.3">
      <c r="A275" s="2">
        <f t="shared" si="4"/>
        <v>273</v>
      </c>
      <c r="B275" s="3" t="str">
        <f>IF(A275&lt;=APP!$D$11*12,EDATE(B274,1),"")</f>
        <v/>
      </c>
      <c r="C275" s="4" t="str">
        <f>IF(A275&lt;=APP!$D$11*12,APP!$D$10,"")</f>
        <v/>
      </c>
      <c r="D275" s="4" t="str">
        <f>IF(A275&lt;=APP!$D$11*12,F274,"")</f>
        <v/>
      </c>
      <c r="E275" s="4" t="str">
        <f>IF(A275&lt;=APP!$D$11*12,D275*APP!$D$12,"")</f>
        <v/>
      </c>
      <c r="F275" s="4" t="str">
        <f>IF(A275&lt;=APP!$D$11*12,D275+E275+C275,"")</f>
        <v/>
      </c>
      <c r="G275" s="4" t="str">
        <f>IF(A275&lt;=APP!$D$11*12,F275*APP!$D$6,"")</f>
        <v/>
      </c>
    </row>
    <row r="276" spans="1:7" x14ac:dyDescent="0.3">
      <c r="A276" s="2">
        <f t="shared" si="4"/>
        <v>274</v>
      </c>
      <c r="B276" s="3" t="str">
        <f>IF(A276&lt;=APP!$D$11*12,EDATE(B275,1),"")</f>
        <v/>
      </c>
      <c r="C276" s="4" t="str">
        <f>IF(A276&lt;=APP!$D$11*12,APP!$D$10,"")</f>
        <v/>
      </c>
      <c r="D276" s="4" t="str">
        <f>IF(A276&lt;=APP!$D$11*12,F275,"")</f>
        <v/>
      </c>
      <c r="E276" s="4" t="str">
        <f>IF(A276&lt;=APP!$D$11*12,D276*APP!$D$12,"")</f>
        <v/>
      </c>
      <c r="F276" s="4" t="str">
        <f>IF(A276&lt;=APP!$D$11*12,D276+E276+C276,"")</f>
        <v/>
      </c>
      <c r="G276" s="4" t="str">
        <f>IF(A276&lt;=APP!$D$11*12,F276*APP!$D$6,"")</f>
        <v/>
      </c>
    </row>
    <row r="277" spans="1:7" x14ac:dyDescent="0.3">
      <c r="A277" s="2">
        <f t="shared" si="4"/>
        <v>275</v>
      </c>
      <c r="B277" s="3" t="str">
        <f>IF(A277&lt;=APP!$D$11*12,EDATE(B276,1),"")</f>
        <v/>
      </c>
      <c r="C277" s="4" t="str">
        <f>IF(A277&lt;=APP!$D$11*12,APP!$D$10,"")</f>
        <v/>
      </c>
      <c r="D277" s="4" t="str">
        <f>IF(A277&lt;=APP!$D$11*12,F276,"")</f>
        <v/>
      </c>
      <c r="E277" s="4" t="str">
        <f>IF(A277&lt;=APP!$D$11*12,D277*APP!$D$12,"")</f>
        <v/>
      </c>
      <c r="F277" s="4" t="str">
        <f>IF(A277&lt;=APP!$D$11*12,D277+E277+C277,"")</f>
        <v/>
      </c>
      <c r="G277" s="4" t="str">
        <f>IF(A277&lt;=APP!$D$11*12,F277*APP!$D$6,"")</f>
        <v/>
      </c>
    </row>
    <row r="278" spans="1:7" x14ac:dyDescent="0.3">
      <c r="A278" s="2">
        <f t="shared" si="4"/>
        <v>276</v>
      </c>
      <c r="B278" s="3" t="str">
        <f>IF(A278&lt;=APP!$D$11*12,EDATE(B277,1),"")</f>
        <v/>
      </c>
      <c r="C278" s="4" t="str">
        <f>IF(A278&lt;=APP!$D$11*12,APP!$D$10,"")</f>
        <v/>
      </c>
      <c r="D278" s="4" t="str">
        <f>IF(A278&lt;=APP!$D$11*12,F277,"")</f>
        <v/>
      </c>
      <c r="E278" s="4" t="str">
        <f>IF(A278&lt;=APP!$D$11*12,D278*APP!$D$12,"")</f>
        <v/>
      </c>
      <c r="F278" s="4" t="str">
        <f>IF(A278&lt;=APP!$D$11*12,D278+E278+C278,"")</f>
        <v/>
      </c>
      <c r="G278" s="4" t="str">
        <f>IF(A278&lt;=APP!$D$11*12,F278*APP!$D$6,"")</f>
        <v/>
      </c>
    </row>
    <row r="279" spans="1:7" x14ac:dyDescent="0.3">
      <c r="A279" s="2">
        <f t="shared" si="4"/>
        <v>277</v>
      </c>
      <c r="B279" s="3" t="str">
        <f>IF(A279&lt;=APP!$D$11*12,EDATE(B278,1),"")</f>
        <v/>
      </c>
      <c r="C279" s="4" t="str">
        <f>IF(A279&lt;=APP!$D$11*12,APP!$D$10,"")</f>
        <v/>
      </c>
      <c r="D279" s="4" t="str">
        <f>IF(A279&lt;=APP!$D$11*12,F278,"")</f>
        <v/>
      </c>
      <c r="E279" s="4" t="str">
        <f>IF(A279&lt;=APP!$D$11*12,D279*APP!$D$12,"")</f>
        <v/>
      </c>
      <c r="F279" s="4" t="str">
        <f>IF(A279&lt;=APP!$D$11*12,D279+E279+C279,"")</f>
        <v/>
      </c>
      <c r="G279" s="4" t="str">
        <f>IF(A279&lt;=APP!$D$11*12,F279*APP!$D$6,"")</f>
        <v/>
      </c>
    </row>
    <row r="280" spans="1:7" x14ac:dyDescent="0.3">
      <c r="A280" s="2">
        <f t="shared" si="4"/>
        <v>278</v>
      </c>
      <c r="B280" s="3" t="str">
        <f>IF(A280&lt;=APP!$D$11*12,EDATE(B279,1),"")</f>
        <v/>
      </c>
      <c r="C280" s="4" t="str">
        <f>IF(A280&lt;=APP!$D$11*12,APP!$D$10,"")</f>
        <v/>
      </c>
      <c r="D280" s="4" t="str">
        <f>IF(A280&lt;=APP!$D$11*12,F279,"")</f>
        <v/>
      </c>
      <c r="E280" s="4" t="str">
        <f>IF(A280&lt;=APP!$D$11*12,D280*APP!$D$12,"")</f>
        <v/>
      </c>
      <c r="F280" s="4" t="str">
        <f>IF(A280&lt;=APP!$D$11*12,D280+E280+C280,"")</f>
        <v/>
      </c>
      <c r="G280" s="4" t="str">
        <f>IF(A280&lt;=APP!$D$11*12,F280*APP!$D$6,"")</f>
        <v/>
      </c>
    </row>
    <row r="281" spans="1:7" x14ac:dyDescent="0.3">
      <c r="A281" s="2">
        <f t="shared" si="4"/>
        <v>279</v>
      </c>
      <c r="B281" s="3" t="str">
        <f>IF(A281&lt;=APP!$D$11*12,EDATE(B280,1),"")</f>
        <v/>
      </c>
      <c r="C281" s="4" t="str">
        <f>IF(A281&lt;=APP!$D$11*12,APP!$D$10,"")</f>
        <v/>
      </c>
      <c r="D281" s="4" t="str">
        <f>IF(A281&lt;=APP!$D$11*12,F280,"")</f>
        <v/>
      </c>
      <c r="E281" s="4" t="str">
        <f>IF(A281&lt;=APP!$D$11*12,D281*APP!$D$12,"")</f>
        <v/>
      </c>
      <c r="F281" s="4" t="str">
        <f>IF(A281&lt;=APP!$D$11*12,D281+E281+C281,"")</f>
        <v/>
      </c>
      <c r="G281" s="4" t="str">
        <f>IF(A281&lt;=APP!$D$11*12,F281*APP!$D$6,"")</f>
        <v/>
      </c>
    </row>
    <row r="282" spans="1:7" x14ac:dyDescent="0.3">
      <c r="A282" s="2">
        <f t="shared" si="4"/>
        <v>280</v>
      </c>
      <c r="B282" s="3" t="str">
        <f>IF(A282&lt;=APP!$D$11*12,EDATE(B281,1),"")</f>
        <v/>
      </c>
      <c r="C282" s="4" t="str">
        <f>IF(A282&lt;=APP!$D$11*12,APP!$D$10,"")</f>
        <v/>
      </c>
      <c r="D282" s="4" t="str">
        <f>IF(A282&lt;=APP!$D$11*12,F281,"")</f>
        <v/>
      </c>
      <c r="E282" s="4" t="str">
        <f>IF(A282&lt;=APP!$D$11*12,D282*APP!$D$12,"")</f>
        <v/>
      </c>
      <c r="F282" s="4" t="str">
        <f>IF(A282&lt;=APP!$D$11*12,D282+E282+C282,"")</f>
        <v/>
      </c>
      <c r="G282" s="4" t="str">
        <f>IF(A282&lt;=APP!$D$11*12,F282*APP!$D$6,"")</f>
        <v/>
      </c>
    </row>
    <row r="283" spans="1:7" x14ac:dyDescent="0.3">
      <c r="A283" s="2">
        <f t="shared" si="4"/>
        <v>281</v>
      </c>
      <c r="B283" s="3" t="str">
        <f>IF(A283&lt;=APP!$D$11*12,EDATE(B282,1),"")</f>
        <v/>
      </c>
      <c r="C283" s="4" t="str">
        <f>IF(A283&lt;=APP!$D$11*12,APP!$D$10,"")</f>
        <v/>
      </c>
      <c r="D283" s="4" t="str">
        <f>IF(A283&lt;=APP!$D$11*12,F282,"")</f>
        <v/>
      </c>
      <c r="E283" s="4" t="str">
        <f>IF(A283&lt;=APP!$D$11*12,D283*APP!$D$12,"")</f>
        <v/>
      </c>
      <c r="F283" s="4" t="str">
        <f>IF(A283&lt;=APP!$D$11*12,D283+E283+C283,"")</f>
        <v/>
      </c>
      <c r="G283" s="4" t="str">
        <f>IF(A283&lt;=APP!$D$11*12,F283*APP!$D$6,"")</f>
        <v/>
      </c>
    </row>
    <row r="284" spans="1:7" x14ac:dyDescent="0.3">
      <c r="A284" s="2">
        <f t="shared" si="4"/>
        <v>282</v>
      </c>
      <c r="B284" s="3" t="str">
        <f>IF(A284&lt;=APP!$D$11*12,EDATE(B283,1),"")</f>
        <v/>
      </c>
      <c r="C284" s="4" t="str">
        <f>IF(A284&lt;=APP!$D$11*12,APP!$D$10,"")</f>
        <v/>
      </c>
      <c r="D284" s="4" t="str">
        <f>IF(A284&lt;=APP!$D$11*12,F283,"")</f>
        <v/>
      </c>
      <c r="E284" s="4" t="str">
        <f>IF(A284&lt;=APP!$D$11*12,D284*APP!$D$12,"")</f>
        <v/>
      </c>
      <c r="F284" s="4" t="str">
        <f>IF(A284&lt;=APP!$D$11*12,D284+E284+C284,"")</f>
        <v/>
      </c>
      <c r="G284" s="4" t="str">
        <f>IF(A284&lt;=APP!$D$11*12,F284*APP!$D$6,"")</f>
        <v/>
      </c>
    </row>
    <row r="285" spans="1:7" x14ac:dyDescent="0.3">
      <c r="A285" s="2">
        <f t="shared" si="4"/>
        <v>283</v>
      </c>
      <c r="B285" s="3" t="str">
        <f>IF(A285&lt;=APP!$D$11*12,EDATE(B284,1),"")</f>
        <v/>
      </c>
      <c r="C285" s="4" t="str">
        <f>IF(A285&lt;=APP!$D$11*12,APP!$D$10,"")</f>
        <v/>
      </c>
      <c r="D285" s="4" t="str">
        <f>IF(A285&lt;=APP!$D$11*12,F284,"")</f>
        <v/>
      </c>
      <c r="E285" s="4" t="str">
        <f>IF(A285&lt;=APP!$D$11*12,D285*APP!$D$12,"")</f>
        <v/>
      </c>
      <c r="F285" s="4" t="str">
        <f>IF(A285&lt;=APP!$D$11*12,D285+E285+C285,"")</f>
        <v/>
      </c>
      <c r="G285" s="4" t="str">
        <f>IF(A285&lt;=APP!$D$11*12,F285*APP!$D$6,"")</f>
        <v/>
      </c>
    </row>
    <row r="286" spans="1:7" x14ac:dyDescent="0.3">
      <c r="A286" s="2">
        <f t="shared" si="4"/>
        <v>284</v>
      </c>
      <c r="B286" s="3" t="str">
        <f>IF(A286&lt;=APP!$D$11*12,EDATE(B285,1),"")</f>
        <v/>
      </c>
      <c r="C286" s="4" t="str">
        <f>IF(A286&lt;=APP!$D$11*12,APP!$D$10,"")</f>
        <v/>
      </c>
      <c r="D286" s="4" t="str">
        <f>IF(A286&lt;=APP!$D$11*12,F285,"")</f>
        <v/>
      </c>
      <c r="E286" s="4" t="str">
        <f>IF(A286&lt;=APP!$D$11*12,D286*APP!$D$12,"")</f>
        <v/>
      </c>
      <c r="F286" s="4" t="str">
        <f>IF(A286&lt;=APP!$D$11*12,D286+E286+C286,"")</f>
        <v/>
      </c>
      <c r="G286" s="4" t="str">
        <f>IF(A286&lt;=APP!$D$11*12,F286*APP!$D$6,"")</f>
        <v/>
      </c>
    </row>
    <row r="287" spans="1:7" x14ac:dyDescent="0.3">
      <c r="A287" s="2">
        <f t="shared" si="4"/>
        <v>285</v>
      </c>
      <c r="B287" s="3" t="str">
        <f>IF(A287&lt;=APP!$D$11*12,EDATE(B286,1),"")</f>
        <v/>
      </c>
      <c r="C287" s="4" t="str">
        <f>IF(A287&lt;=APP!$D$11*12,APP!$D$10,"")</f>
        <v/>
      </c>
      <c r="D287" s="4" t="str">
        <f>IF(A287&lt;=APP!$D$11*12,F286,"")</f>
        <v/>
      </c>
      <c r="E287" s="4" t="str">
        <f>IF(A287&lt;=APP!$D$11*12,D287*APP!$D$12,"")</f>
        <v/>
      </c>
      <c r="F287" s="4" t="str">
        <f>IF(A287&lt;=APP!$D$11*12,D287+E287+C287,"")</f>
        <v/>
      </c>
      <c r="G287" s="4" t="str">
        <f>IF(A287&lt;=APP!$D$11*12,F287*APP!$D$6,"")</f>
        <v/>
      </c>
    </row>
    <row r="288" spans="1:7" x14ac:dyDescent="0.3">
      <c r="A288" s="2">
        <f t="shared" si="4"/>
        <v>286</v>
      </c>
      <c r="B288" s="3" t="str">
        <f>IF(A288&lt;=APP!$D$11*12,EDATE(B287,1),"")</f>
        <v/>
      </c>
      <c r="C288" s="4" t="str">
        <f>IF(A288&lt;=APP!$D$11*12,APP!$D$10,"")</f>
        <v/>
      </c>
      <c r="D288" s="4" t="str">
        <f>IF(A288&lt;=APP!$D$11*12,F287,"")</f>
        <v/>
      </c>
      <c r="E288" s="4" t="str">
        <f>IF(A288&lt;=APP!$D$11*12,D288*APP!$D$12,"")</f>
        <v/>
      </c>
      <c r="F288" s="4" t="str">
        <f>IF(A288&lt;=APP!$D$11*12,D288+E288+C288,"")</f>
        <v/>
      </c>
      <c r="G288" s="4" t="str">
        <f>IF(A288&lt;=APP!$D$11*12,F288*APP!$D$6,"")</f>
        <v/>
      </c>
    </row>
    <row r="289" spans="1:7" x14ac:dyDescent="0.3">
      <c r="A289" s="2">
        <f t="shared" si="4"/>
        <v>287</v>
      </c>
      <c r="B289" s="3" t="str">
        <f>IF(A289&lt;=APP!$D$11*12,EDATE(B288,1),"")</f>
        <v/>
      </c>
      <c r="C289" s="4" t="str">
        <f>IF(A289&lt;=APP!$D$11*12,APP!$D$10,"")</f>
        <v/>
      </c>
      <c r="D289" s="4" t="str">
        <f>IF(A289&lt;=APP!$D$11*12,F288,"")</f>
        <v/>
      </c>
      <c r="E289" s="4" t="str">
        <f>IF(A289&lt;=APP!$D$11*12,D289*APP!$D$12,"")</f>
        <v/>
      </c>
      <c r="F289" s="4" t="str">
        <f>IF(A289&lt;=APP!$D$11*12,D289+E289+C289,"")</f>
        <v/>
      </c>
      <c r="G289" s="4" t="str">
        <f>IF(A289&lt;=APP!$D$11*12,F289*APP!$D$6,"")</f>
        <v/>
      </c>
    </row>
    <row r="290" spans="1:7" x14ac:dyDescent="0.3">
      <c r="A290" s="2">
        <f t="shared" si="4"/>
        <v>288</v>
      </c>
      <c r="B290" s="3" t="str">
        <f>IF(A290&lt;=APP!$D$11*12,EDATE(B289,1),"")</f>
        <v/>
      </c>
      <c r="C290" s="4" t="str">
        <f>IF(A290&lt;=APP!$D$11*12,APP!$D$10,"")</f>
        <v/>
      </c>
      <c r="D290" s="4" t="str">
        <f>IF(A290&lt;=APP!$D$11*12,F289,"")</f>
        <v/>
      </c>
      <c r="E290" s="4" t="str">
        <f>IF(A290&lt;=APP!$D$11*12,D290*APP!$D$12,"")</f>
        <v/>
      </c>
      <c r="F290" s="4" t="str">
        <f>IF(A290&lt;=APP!$D$11*12,D290+E290+C290,"")</f>
        <v/>
      </c>
      <c r="G290" s="4" t="str">
        <f>IF(A290&lt;=APP!$D$11*12,F290*APP!$D$6,"")</f>
        <v/>
      </c>
    </row>
    <row r="291" spans="1:7" x14ac:dyDescent="0.3">
      <c r="A291" s="2">
        <f t="shared" si="4"/>
        <v>289</v>
      </c>
      <c r="B291" s="3" t="str">
        <f>IF(A291&lt;=APP!$D$11*12,EDATE(B290,1),"")</f>
        <v/>
      </c>
      <c r="C291" s="4" t="str">
        <f>IF(A291&lt;=APP!$D$11*12,APP!$D$10,"")</f>
        <v/>
      </c>
      <c r="D291" s="4" t="str">
        <f>IF(A291&lt;=APP!$D$11*12,F290,"")</f>
        <v/>
      </c>
      <c r="E291" s="4" t="str">
        <f>IF(A291&lt;=APP!$D$11*12,D291*APP!$D$12,"")</f>
        <v/>
      </c>
      <c r="F291" s="4" t="str">
        <f>IF(A291&lt;=APP!$D$11*12,D291+E291+C291,"")</f>
        <v/>
      </c>
      <c r="G291" s="4" t="str">
        <f>IF(A291&lt;=APP!$D$11*12,F291*APP!$D$6,"")</f>
        <v/>
      </c>
    </row>
    <row r="292" spans="1:7" x14ac:dyDescent="0.3">
      <c r="A292" s="2">
        <f t="shared" si="4"/>
        <v>290</v>
      </c>
      <c r="B292" s="3" t="str">
        <f>IF(A292&lt;=APP!$D$11*12,EDATE(B291,1),"")</f>
        <v/>
      </c>
      <c r="C292" s="4" t="str">
        <f>IF(A292&lt;=APP!$D$11*12,APP!$D$10,"")</f>
        <v/>
      </c>
      <c r="D292" s="4" t="str">
        <f>IF(A292&lt;=APP!$D$11*12,F291,"")</f>
        <v/>
      </c>
      <c r="E292" s="4" t="str">
        <f>IF(A292&lt;=APP!$D$11*12,D292*APP!$D$12,"")</f>
        <v/>
      </c>
      <c r="F292" s="4" t="str">
        <f>IF(A292&lt;=APP!$D$11*12,D292+E292+C292,"")</f>
        <v/>
      </c>
      <c r="G292" s="4" t="str">
        <f>IF(A292&lt;=APP!$D$11*12,F292*APP!$D$6,"")</f>
        <v/>
      </c>
    </row>
    <row r="293" spans="1:7" x14ac:dyDescent="0.3">
      <c r="A293" s="2">
        <f t="shared" si="4"/>
        <v>291</v>
      </c>
      <c r="B293" s="3" t="str">
        <f>IF(A293&lt;=APP!$D$11*12,EDATE(B292,1),"")</f>
        <v/>
      </c>
      <c r="C293" s="4" t="str">
        <f>IF(A293&lt;=APP!$D$11*12,APP!$D$10,"")</f>
        <v/>
      </c>
      <c r="D293" s="4" t="str">
        <f>IF(A293&lt;=APP!$D$11*12,F292,"")</f>
        <v/>
      </c>
      <c r="E293" s="4" t="str">
        <f>IF(A293&lt;=APP!$D$11*12,D293*APP!$D$12,"")</f>
        <v/>
      </c>
      <c r="F293" s="4" t="str">
        <f>IF(A293&lt;=APP!$D$11*12,D293+E293+C293,"")</f>
        <v/>
      </c>
      <c r="G293" s="4" t="str">
        <f>IF(A293&lt;=APP!$D$11*12,F293*APP!$D$6,"")</f>
        <v/>
      </c>
    </row>
    <row r="294" spans="1:7" x14ac:dyDescent="0.3">
      <c r="A294" s="2">
        <f t="shared" si="4"/>
        <v>292</v>
      </c>
      <c r="B294" s="3" t="str">
        <f>IF(A294&lt;=APP!$D$11*12,EDATE(B293,1),"")</f>
        <v/>
      </c>
      <c r="C294" s="4" t="str">
        <f>IF(A294&lt;=APP!$D$11*12,APP!$D$10,"")</f>
        <v/>
      </c>
      <c r="D294" s="4" t="str">
        <f>IF(A294&lt;=APP!$D$11*12,F293,"")</f>
        <v/>
      </c>
      <c r="E294" s="4" t="str">
        <f>IF(A294&lt;=APP!$D$11*12,D294*APP!$D$12,"")</f>
        <v/>
      </c>
      <c r="F294" s="4" t="str">
        <f>IF(A294&lt;=APP!$D$11*12,D294+E294+C294,"")</f>
        <v/>
      </c>
      <c r="G294" s="4" t="str">
        <f>IF(A294&lt;=APP!$D$11*12,F294*APP!$D$6,"")</f>
        <v/>
      </c>
    </row>
    <row r="295" spans="1:7" x14ac:dyDescent="0.3">
      <c r="A295" s="2">
        <f t="shared" si="4"/>
        <v>293</v>
      </c>
      <c r="B295" s="3" t="str">
        <f>IF(A295&lt;=APP!$D$11*12,EDATE(B294,1),"")</f>
        <v/>
      </c>
      <c r="C295" s="4" t="str">
        <f>IF(A295&lt;=APP!$D$11*12,APP!$D$10,"")</f>
        <v/>
      </c>
      <c r="D295" s="4" t="str">
        <f>IF(A295&lt;=APP!$D$11*12,F294,"")</f>
        <v/>
      </c>
      <c r="E295" s="4" t="str">
        <f>IF(A295&lt;=APP!$D$11*12,D295*APP!$D$12,"")</f>
        <v/>
      </c>
      <c r="F295" s="4" t="str">
        <f>IF(A295&lt;=APP!$D$11*12,D295+E295+C295,"")</f>
        <v/>
      </c>
      <c r="G295" s="4" t="str">
        <f>IF(A295&lt;=APP!$D$11*12,F295*APP!$D$6,"")</f>
        <v/>
      </c>
    </row>
    <row r="296" spans="1:7" x14ac:dyDescent="0.3">
      <c r="A296" s="2">
        <f t="shared" si="4"/>
        <v>294</v>
      </c>
      <c r="B296" s="3" t="str">
        <f>IF(A296&lt;=APP!$D$11*12,EDATE(B295,1),"")</f>
        <v/>
      </c>
      <c r="C296" s="4" t="str">
        <f>IF(A296&lt;=APP!$D$11*12,APP!$D$10,"")</f>
        <v/>
      </c>
      <c r="D296" s="4" t="str">
        <f>IF(A296&lt;=APP!$D$11*12,F295,"")</f>
        <v/>
      </c>
      <c r="E296" s="4" t="str">
        <f>IF(A296&lt;=APP!$D$11*12,D296*APP!$D$12,"")</f>
        <v/>
      </c>
      <c r="F296" s="4" t="str">
        <f>IF(A296&lt;=APP!$D$11*12,D296+E296+C296,"")</f>
        <v/>
      </c>
      <c r="G296" s="4" t="str">
        <f>IF(A296&lt;=APP!$D$11*12,F296*APP!$D$6,"")</f>
        <v/>
      </c>
    </row>
    <row r="297" spans="1:7" x14ac:dyDescent="0.3">
      <c r="A297" s="2">
        <f t="shared" si="4"/>
        <v>295</v>
      </c>
      <c r="B297" s="3" t="str">
        <f>IF(A297&lt;=APP!$D$11*12,EDATE(B296,1),"")</f>
        <v/>
      </c>
      <c r="C297" s="4" t="str">
        <f>IF(A297&lt;=APP!$D$11*12,APP!$D$10,"")</f>
        <v/>
      </c>
      <c r="D297" s="4" t="str">
        <f>IF(A297&lt;=APP!$D$11*12,F296,"")</f>
        <v/>
      </c>
      <c r="E297" s="4" t="str">
        <f>IF(A297&lt;=APP!$D$11*12,D297*APP!$D$12,"")</f>
        <v/>
      </c>
      <c r="F297" s="4" t="str">
        <f>IF(A297&lt;=APP!$D$11*12,D297+E297+C297,"")</f>
        <v/>
      </c>
      <c r="G297" s="4" t="str">
        <f>IF(A297&lt;=APP!$D$11*12,F297*APP!$D$6,"")</f>
        <v/>
      </c>
    </row>
    <row r="298" spans="1:7" x14ac:dyDescent="0.3">
      <c r="A298" s="2">
        <f t="shared" si="4"/>
        <v>296</v>
      </c>
      <c r="B298" s="3" t="str">
        <f>IF(A298&lt;=APP!$D$11*12,EDATE(B297,1),"")</f>
        <v/>
      </c>
      <c r="C298" s="4" t="str">
        <f>IF(A298&lt;=APP!$D$11*12,APP!$D$10,"")</f>
        <v/>
      </c>
      <c r="D298" s="4" t="str">
        <f>IF(A298&lt;=APP!$D$11*12,F297,"")</f>
        <v/>
      </c>
      <c r="E298" s="4" t="str">
        <f>IF(A298&lt;=APP!$D$11*12,D298*APP!$D$12,"")</f>
        <v/>
      </c>
      <c r="F298" s="4" t="str">
        <f>IF(A298&lt;=APP!$D$11*12,D298+E298+C298,"")</f>
        <v/>
      </c>
      <c r="G298" s="4" t="str">
        <f>IF(A298&lt;=APP!$D$11*12,F298*APP!$D$6,"")</f>
        <v/>
      </c>
    </row>
    <row r="299" spans="1:7" x14ac:dyDescent="0.3">
      <c r="A299" s="2">
        <f t="shared" si="4"/>
        <v>297</v>
      </c>
      <c r="B299" s="3" t="str">
        <f>IF(A299&lt;=APP!$D$11*12,EDATE(B298,1),"")</f>
        <v/>
      </c>
      <c r="C299" s="4" t="str">
        <f>IF(A299&lt;=APP!$D$11*12,APP!$D$10,"")</f>
        <v/>
      </c>
      <c r="D299" s="4" t="str">
        <f>IF(A299&lt;=APP!$D$11*12,F298,"")</f>
        <v/>
      </c>
      <c r="E299" s="4" t="str">
        <f>IF(A299&lt;=APP!$D$11*12,D299*APP!$D$12,"")</f>
        <v/>
      </c>
      <c r="F299" s="4" t="str">
        <f>IF(A299&lt;=APP!$D$11*12,D299+E299+C299,"")</f>
        <v/>
      </c>
      <c r="G299" s="4" t="str">
        <f>IF(A299&lt;=APP!$D$11*12,F299*APP!$D$6,"")</f>
        <v/>
      </c>
    </row>
    <row r="300" spans="1:7" x14ac:dyDescent="0.3">
      <c r="A300" s="2">
        <f t="shared" si="4"/>
        <v>298</v>
      </c>
      <c r="B300" s="3" t="str">
        <f>IF(A300&lt;=APP!$D$11*12,EDATE(B299,1),"")</f>
        <v/>
      </c>
      <c r="C300" s="4" t="str">
        <f>IF(A300&lt;=APP!$D$11*12,APP!$D$10,"")</f>
        <v/>
      </c>
      <c r="D300" s="4" t="str">
        <f>IF(A300&lt;=APP!$D$11*12,F299,"")</f>
        <v/>
      </c>
      <c r="E300" s="4" t="str">
        <f>IF(A300&lt;=APP!$D$11*12,D300*APP!$D$12,"")</f>
        <v/>
      </c>
      <c r="F300" s="4" t="str">
        <f>IF(A300&lt;=APP!$D$11*12,D300+E300+C300,"")</f>
        <v/>
      </c>
      <c r="G300" s="4" t="str">
        <f>IF(A300&lt;=APP!$D$11*12,F300*APP!$D$6,"")</f>
        <v/>
      </c>
    </row>
    <row r="301" spans="1:7" x14ac:dyDescent="0.3">
      <c r="A301" s="2">
        <f t="shared" si="4"/>
        <v>299</v>
      </c>
      <c r="B301" s="3" t="str">
        <f>IF(A301&lt;=APP!$D$11*12,EDATE(B300,1),"")</f>
        <v/>
      </c>
      <c r="C301" s="4" t="str">
        <f>IF(A301&lt;=APP!$D$11*12,APP!$D$10,"")</f>
        <v/>
      </c>
      <c r="D301" s="4" t="str">
        <f>IF(A301&lt;=APP!$D$11*12,F300,"")</f>
        <v/>
      </c>
      <c r="E301" s="4" t="str">
        <f>IF(A301&lt;=APP!$D$11*12,D301*APP!$D$12,"")</f>
        <v/>
      </c>
      <c r="F301" s="4" t="str">
        <f>IF(A301&lt;=APP!$D$11*12,D301+E301+C301,"")</f>
        <v/>
      </c>
      <c r="G301" s="4" t="str">
        <f>IF(A301&lt;=APP!$D$11*12,F301*APP!$D$6,"")</f>
        <v/>
      </c>
    </row>
    <row r="302" spans="1:7" x14ac:dyDescent="0.3">
      <c r="A302" s="2">
        <f t="shared" si="4"/>
        <v>300</v>
      </c>
      <c r="B302" s="3" t="str">
        <f>IF(A302&lt;=APP!$D$11*12,EDATE(B301,1),"")</f>
        <v/>
      </c>
      <c r="C302" s="4" t="str">
        <f>IF(A302&lt;=APP!$D$11*12,APP!$D$10,"")</f>
        <v/>
      </c>
      <c r="D302" s="4" t="str">
        <f>IF(A302&lt;=APP!$D$11*12,F301,"")</f>
        <v/>
      </c>
      <c r="E302" s="4" t="str">
        <f>IF(A302&lt;=APP!$D$11*12,D302*APP!$D$12,"")</f>
        <v/>
      </c>
      <c r="F302" s="4" t="str">
        <f>IF(A302&lt;=APP!$D$11*12,D302+E302+C302,"")</f>
        <v/>
      </c>
      <c r="G302" s="4" t="str">
        <f>IF(A302&lt;=APP!$D$11*12,F302*APP!$D$6,"")</f>
        <v/>
      </c>
    </row>
    <row r="303" spans="1:7" x14ac:dyDescent="0.3">
      <c r="A303" s="2">
        <f t="shared" si="4"/>
        <v>301</v>
      </c>
      <c r="B303" s="3" t="str">
        <f>IF(A303&lt;=APP!$D$11*12,EDATE(B302,1),"")</f>
        <v/>
      </c>
      <c r="C303" s="4" t="str">
        <f>IF(A303&lt;=APP!$D$11*12,APP!$D$10,"")</f>
        <v/>
      </c>
      <c r="D303" s="4" t="str">
        <f>IF(A303&lt;=APP!$D$11*12,F302,"")</f>
        <v/>
      </c>
      <c r="E303" s="4" t="str">
        <f>IF(A303&lt;=APP!$D$11*12,D303*APP!$D$12,"")</f>
        <v/>
      </c>
      <c r="F303" s="4" t="str">
        <f>IF(A303&lt;=APP!$D$11*12,D303+E303+C303,"")</f>
        <v/>
      </c>
      <c r="G303" s="4" t="str">
        <f>IF(A303&lt;=APP!$D$11*12,F303*APP!$D$6,"")</f>
        <v/>
      </c>
    </row>
    <row r="304" spans="1:7" x14ac:dyDescent="0.3">
      <c r="A304" s="2">
        <f t="shared" si="4"/>
        <v>302</v>
      </c>
      <c r="B304" s="3" t="str">
        <f>IF(A304&lt;=APP!$D$11*12,EDATE(B303,1),"")</f>
        <v/>
      </c>
      <c r="C304" s="4" t="str">
        <f>IF(A304&lt;=APP!$D$11*12,APP!$D$10,"")</f>
        <v/>
      </c>
      <c r="D304" s="4" t="str">
        <f>IF(A304&lt;=APP!$D$11*12,F303,"")</f>
        <v/>
      </c>
      <c r="E304" s="4" t="str">
        <f>IF(A304&lt;=APP!$D$11*12,D304*APP!$D$12,"")</f>
        <v/>
      </c>
      <c r="F304" s="4" t="str">
        <f>IF(A304&lt;=APP!$D$11*12,D304+E304+C304,"")</f>
        <v/>
      </c>
      <c r="G304" s="4" t="str">
        <f>IF(A304&lt;=APP!$D$11*12,F304*APP!$D$6,"")</f>
        <v/>
      </c>
    </row>
    <row r="305" spans="1:7" x14ac:dyDescent="0.3">
      <c r="A305" s="2">
        <f t="shared" si="4"/>
        <v>303</v>
      </c>
      <c r="B305" s="3" t="str">
        <f>IF(A305&lt;=APP!$D$11*12,EDATE(B304,1),"")</f>
        <v/>
      </c>
      <c r="C305" s="4" t="str">
        <f>IF(A305&lt;=APP!$D$11*12,APP!$D$10,"")</f>
        <v/>
      </c>
      <c r="D305" s="4" t="str">
        <f>IF(A305&lt;=APP!$D$11*12,F304,"")</f>
        <v/>
      </c>
      <c r="E305" s="4" t="str">
        <f>IF(A305&lt;=APP!$D$11*12,D305*APP!$D$12,"")</f>
        <v/>
      </c>
      <c r="F305" s="4" t="str">
        <f>IF(A305&lt;=APP!$D$11*12,D305+E305+C305,"")</f>
        <v/>
      </c>
      <c r="G305" s="4" t="str">
        <f>IF(A305&lt;=APP!$D$11*12,F305*APP!$D$6,"")</f>
        <v/>
      </c>
    </row>
    <row r="306" spans="1:7" x14ac:dyDescent="0.3">
      <c r="A306" s="2">
        <f t="shared" si="4"/>
        <v>304</v>
      </c>
      <c r="B306" s="3" t="str">
        <f>IF(A306&lt;=APP!$D$11*12,EDATE(B305,1),"")</f>
        <v/>
      </c>
      <c r="C306" s="4" t="str">
        <f>IF(A306&lt;=APP!$D$11*12,APP!$D$10,"")</f>
        <v/>
      </c>
      <c r="D306" s="4" t="str">
        <f>IF(A306&lt;=APP!$D$11*12,F305,"")</f>
        <v/>
      </c>
      <c r="E306" s="4" t="str">
        <f>IF(A306&lt;=APP!$D$11*12,D306*APP!$D$12,"")</f>
        <v/>
      </c>
      <c r="F306" s="4" t="str">
        <f>IF(A306&lt;=APP!$D$11*12,D306+E306+C306,"")</f>
        <v/>
      </c>
      <c r="G306" s="4" t="str">
        <f>IF(A306&lt;=APP!$D$11*12,F306*APP!$D$6,"")</f>
        <v/>
      </c>
    </row>
    <row r="307" spans="1:7" x14ac:dyDescent="0.3">
      <c r="A307" s="2">
        <f t="shared" si="4"/>
        <v>305</v>
      </c>
      <c r="B307" s="3" t="str">
        <f>IF(A307&lt;=APP!$D$11*12,EDATE(B306,1),"")</f>
        <v/>
      </c>
      <c r="C307" s="4" t="str">
        <f>IF(A307&lt;=APP!$D$11*12,APP!$D$10,"")</f>
        <v/>
      </c>
      <c r="D307" s="4" t="str">
        <f>IF(A307&lt;=APP!$D$11*12,F306,"")</f>
        <v/>
      </c>
      <c r="E307" s="4" t="str">
        <f>IF(A307&lt;=APP!$D$11*12,D307*APP!$D$12,"")</f>
        <v/>
      </c>
      <c r="F307" s="4" t="str">
        <f>IF(A307&lt;=APP!$D$11*12,D307+E307+C307,"")</f>
        <v/>
      </c>
      <c r="G307" s="4" t="str">
        <f>IF(A307&lt;=APP!$D$11*12,F307*APP!$D$6,"")</f>
        <v/>
      </c>
    </row>
    <row r="308" spans="1:7" x14ac:dyDescent="0.3">
      <c r="A308" s="2">
        <f t="shared" si="4"/>
        <v>306</v>
      </c>
      <c r="B308" s="3" t="str">
        <f>IF(A308&lt;=APP!$D$11*12,EDATE(B307,1),"")</f>
        <v/>
      </c>
      <c r="C308" s="4" t="str">
        <f>IF(A308&lt;=APP!$D$11*12,APP!$D$10,"")</f>
        <v/>
      </c>
      <c r="D308" s="4" t="str">
        <f>IF(A308&lt;=APP!$D$11*12,F307,"")</f>
        <v/>
      </c>
      <c r="E308" s="4" t="str">
        <f>IF(A308&lt;=APP!$D$11*12,D308*APP!$D$12,"")</f>
        <v/>
      </c>
      <c r="F308" s="4" t="str">
        <f>IF(A308&lt;=APP!$D$11*12,D308+E308+C308,"")</f>
        <v/>
      </c>
      <c r="G308" s="4" t="str">
        <f>IF(A308&lt;=APP!$D$11*12,F308*APP!$D$6,"")</f>
        <v/>
      </c>
    </row>
    <row r="309" spans="1:7" x14ac:dyDescent="0.3">
      <c r="A309" s="2">
        <f t="shared" si="4"/>
        <v>307</v>
      </c>
      <c r="B309" s="3" t="str">
        <f>IF(A309&lt;=APP!$D$11*12,EDATE(B308,1),"")</f>
        <v/>
      </c>
      <c r="C309" s="4" t="str">
        <f>IF(A309&lt;=APP!$D$11*12,APP!$D$10,"")</f>
        <v/>
      </c>
      <c r="D309" s="4" t="str">
        <f>IF(A309&lt;=APP!$D$11*12,F308,"")</f>
        <v/>
      </c>
      <c r="E309" s="4" t="str">
        <f>IF(A309&lt;=APP!$D$11*12,D309*APP!$D$12,"")</f>
        <v/>
      </c>
      <c r="F309" s="4" t="str">
        <f>IF(A309&lt;=APP!$D$11*12,D309+E309+C309,"")</f>
        <v/>
      </c>
      <c r="G309" s="4" t="str">
        <f>IF(A309&lt;=APP!$D$11*12,F309*APP!$D$6,"")</f>
        <v/>
      </c>
    </row>
    <row r="310" spans="1:7" x14ac:dyDescent="0.3">
      <c r="A310" s="2">
        <f t="shared" si="4"/>
        <v>308</v>
      </c>
      <c r="B310" s="3" t="str">
        <f>IF(A310&lt;=APP!$D$11*12,EDATE(B309,1),"")</f>
        <v/>
      </c>
      <c r="C310" s="4" t="str">
        <f>IF(A310&lt;=APP!$D$11*12,APP!$D$10,"")</f>
        <v/>
      </c>
      <c r="D310" s="4" t="str">
        <f>IF(A310&lt;=APP!$D$11*12,F309,"")</f>
        <v/>
      </c>
      <c r="E310" s="4" t="str">
        <f>IF(A310&lt;=APP!$D$11*12,D310*APP!$D$12,"")</f>
        <v/>
      </c>
      <c r="F310" s="4" t="str">
        <f>IF(A310&lt;=APP!$D$11*12,D310+E310+C310,"")</f>
        <v/>
      </c>
      <c r="G310" s="4" t="str">
        <f>IF(A310&lt;=APP!$D$11*12,F310*APP!$D$6,"")</f>
        <v/>
      </c>
    </row>
    <row r="311" spans="1:7" x14ac:dyDescent="0.3">
      <c r="A311" s="2">
        <f t="shared" si="4"/>
        <v>309</v>
      </c>
      <c r="B311" s="3" t="str">
        <f>IF(A311&lt;=APP!$D$11*12,EDATE(B310,1),"")</f>
        <v/>
      </c>
      <c r="C311" s="4" t="str">
        <f>IF(A311&lt;=APP!$D$11*12,APP!$D$10,"")</f>
        <v/>
      </c>
      <c r="D311" s="4" t="str">
        <f>IF(A311&lt;=APP!$D$11*12,F310,"")</f>
        <v/>
      </c>
      <c r="E311" s="4" t="str">
        <f>IF(A311&lt;=APP!$D$11*12,D311*APP!$D$12,"")</f>
        <v/>
      </c>
      <c r="F311" s="4" t="str">
        <f>IF(A311&lt;=APP!$D$11*12,D311+E311+C311,"")</f>
        <v/>
      </c>
      <c r="G311" s="4" t="str">
        <f>IF(A311&lt;=APP!$D$11*12,F311*APP!$D$6,"")</f>
        <v/>
      </c>
    </row>
    <row r="312" spans="1:7" x14ac:dyDescent="0.3">
      <c r="A312" s="2">
        <f t="shared" si="4"/>
        <v>310</v>
      </c>
      <c r="B312" s="3" t="str">
        <f>IF(A312&lt;=APP!$D$11*12,EDATE(B311,1),"")</f>
        <v/>
      </c>
      <c r="C312" s="4" t="str">
        <f>IF(A312&lt;=APP!$D$11*12,APP!$D$10,"")</f>
        <v/>
      </c>
      <c r="D312" s="4" t="str">
        <f>IF(A312&lt;=APP!$D$11*12,F311,"")</f>
        <v/>
      </c>
      <c r="E312" s="4" t="str">
        <f>IF(A312&lt;=APP!$D$11*12,D312*APP!$D$12,"")</f>
        <v/>
      </c>
      <c r="F312" s="4" t="str">
        <f>IF(A312&lt;=APP!$D$11*12,D312+E312+C312,"")</f>
        <v/>
      </c>
      <c r="G312" s="4" t="str">
        <f>IF(A312&lt;=APP!$D$11*12,F312*APP!$D$6,"")</f>
        <v/>
      </c>
    </row>
    <row r="313" spans="1:7" x14ac:dyDescent="0.3">
      <c r="A313" s="2">
        <f t="shared" si="4"/>
        <v>311</v>
      </c>
      <c r="B313" s="3" t="str">
        <f>IF(A313&lt;=APP!$D$11*12,EDATE(B312,1),"")</f>
        <v/>
      </c>
      <c r="C313" s="4" t="str">
        <f>IF(A313&lt;=APP!$D$11*12,APP!$D$10,"")</f>
        <v/>
      </c>
      <c r="D313" s="4" t="str">
        <f>IF(A313&lt;=APP!$D$11*12,F312,"")</f>
        <v/>
      </c>
      <c r="E313" s="4" t="str">
        <f>IF(A313&lt;=APP!$D$11*12,D313*APP!$D$12,"")</f>
        <v/>
      </c>
      <c r="F313" s="4" t="str">
        <f>IF(A313&lt;=APP!$D$11*12,D313+E313+C313,"")</f>
        <v/>
      </c>
      <c r="G313" s="4" t="str">
        <f>IF(A313&lt;=APP!$D$11*12,F313*APP!$D$6,"")</f>
        <v/>
      </c>
    </row>
    <row r="314" spans="1:7" x14ac:dyDescent="0.3">
      <c r="A314" s="2">
        <f t="shared" si="4"/>
        <v>312</v>
      </c>
      <c r="B314" s="3" t="str">
        <f>IF(A314&lt;=APP!$D$11*12,EDATE(B313,1),"")</f>
        <v/>
      </c>
      <c r="C314" s="4" t="str">
        <f>IF(A314&lt;=APP!$D$11*12,APP!$D$10,"")</f>
        <v/>
      </c>
      <c r="D314" s="4" t="str">
        <f>IF(A314&lt;=APP!$D$11*12,F313,"")</f>
        <v/>
      </c>
      <c r="E314" s="4" t="str">
        <f>IF(A314&lt;=APP!$D$11*12,D314*APP!$D$12,"")</f>
        <v/>
      </c>
      <c r="F314" s="4" t="str">
        <f>IF(A314&lt;=APP!$D$11*12,D314+E314+C314,"")</f>
        <v/>
      </c>
      <c r="G314" s="4" t="str">
        <f>IF(A314&lt;=APP!$D$11*12,F314*APP!$D$6,"")</f>
        <v/>
      </c>
    </row>
    <row r="315" spans="1:7" x14ac:dyDescent="0.3">
      <c r="A315" s="2">
        <f t="shared" si="4"/>
        <v>313</v>
      </c>
      <c r="B315" s="3" t="str">
        <f>IF(A315&lt;=APP!$D$11*12,EDATE(B314,1),"")</f>
        <v/>
      </c>
      <c r="C315" s="4" t="str">
        <f>IF(A315&lt;=APP!$D$11*12,APP!$D$10,"")</f>
        <v/>
      </c>
      <c r="D315" s="4" t="str">
        <f>IF(A315&lt;=APP!$D$11*12,F314,"")</f>
        <v/>
      </c>
      <c r="E315" s="4" t="str">
        <f>IF(A315&lt;=APP!$D$11*12,D315*APP!$D$12,"")</f>
        <v/>
      </c>
      <c r="F315" s="4" t="str">
        <f>IF(A315&lt;=APP!$D$11*12,D315+E315+C315,"")</f>
        <v/>
      </c>
      <c r="G315" s="4" t="str">
        <f>IF(A315&lt;=APP!$D$11*12,F315*APP!$D$6,"")</f>
        <v/>
      </c>
    </row>
    <row r="316" spans="1:7" x14ac:dyDescent="0.3">
      <c r="A316" s="2">
        <f t="shared" si="4"/>
        <v>314</v>
      </c>
      <c r="B316" s="3" t="str">
        <f>IF(A316&lt;=APP!$D$11*12,EDATE(B315,1),"")</f>
        <v/>
      </c>
      <c r="C316" s="4" t="str">
        <f>IF(A316&lt;=APP!$D$11*12,APP!$D$10,"")</f>
        <v/>
      </c>
      <c r="D316" s="4" t="str">
        <f>IF(A316&lt;=APP!$D$11*12,F315,"")</f>
        <v/>
      </c>
      <c r="E316" s="4" t="str">
        <f>IF(A316&lt;=APP!$D$11*12,D316*APP!$D$12,"")</f>
        <v/>
      </c>
      <c r="F316" s="4" t="str">
        <f>IF(A316&lt;=APP!$D$11*12,D316+E316+C316,"")</f>
        <v/>
      </c>
      <c r="G316" s="4" t="str">
        <f>IF(A316&lt;=APP!$D$11*12,F316*APP!$D$6,"")</f>
        <v/>
      </c>
    </row>
    <row r="317" spans="1:7" x14ac:dyDescent="0.3">
      <c r="A317" s="2">
        <f t="shared" si="4"/>
        <v>315</v>
      </c>
      <c r="B317" s="3" t="str">
        <f>IF(A317&lt;=APP!$D$11*12,EDATE(B316,1),"")</f>
        <v/>
      </c>
      <c r="C317" s="4" t="str">
        <f>IF(A317&lt;=APP!$D$11*12,APP!$D$10,"")</f>
        <v/>
      </c>
      <c r="D317" s="4" t="str">
        <f>IF(A317&lt;=APP!$D$11*12,F316,"")</f>
        <v/>
      </c>
      <c r="E317" s="4" t="str">
        <f>IF(A317&lt;=APP!$D$11*12,D317*APP!$D$12,"")</f>
        <v/>
      </c>
      <c r="F317" s="4" t="str">
        <f>IF(A317&lt;=APP!$D$11*12,D317+E317+C317,"")</f>
        <v/>
      </c>
      <c r="G317" s="4" t="str">
        <f>IF(A317&lt;=APP!$D$11*12,F317*APP!$D$6,"")</f>
        <v/>
      </c>
    </row>
    <row r="318" spans="1:7" x14ac:dyDescent="0.3">
      <c r="A318" s="2">
        <f t="shared" si="4"/>
        <v>316</v>
      </c>
      <c r="B318" s="3" t="str">
        <f>IF(A318&lt;=APP!$D$11*12,EDATE(B317,1),"")</f>
        <v/>
      </c>
      <c r="C318" s="4" t="str">
        <f>IF(A318&lt;=APP!$D$11*12,APP!$D$10,"")</f>
        <v/>
      </c>
      <c r="D318" s="4" t="str">
        <f>IF(A318&lt;=APP!$D$11*12,F317,"")</f>
        <v/>
      </c>
      <c r="E318" s="4" t="str">
        <f>IF(A318&lt;=APP!$D$11*12,D318*APP!$D$12,"")</f>
        <v/>
      </c>
      <c r="F318" s="4" t="str">
        <f>IF(A318&lt;=APP!$D$11*12,D318+E318+C318,"")</f>
        <v/>
      </c>
      <c r="G318" s="4" t="str">
        <f>IF(A318&lt;=APP!$D$11*12,F318*APP!$D$6,"")</f>
        <v/>
      </c>
    </row>
    <row r="319" spans="1:7" x14ac:dyDescent="0.3">
      <c r="A319" s="2">
        <f t="shared" si="4"/>
        <v>317</v>
      </c>
      <c r="B319" s="3" t="str">
        <f>IF(A319&lt;=APP!$D$11*12,EDATE(B318,1),"")</f>
        <v/>
      </c>
      <c r="C319" s="4" t="str">
        <f>IF(A319&lt;=APP!$D$11*12,APP!$D$10,"")</f>
        <v/>
      </c>
      <c r="D319" s="4" t="str">
        <f>IF(A319&lt;=APP!$D$11*12,F318,"")</f>
        <v/>
      </c>
      <c r="E319" s="4" t="str">
        <f>IF(A319&lt;=APP!$D$11*12,D319*APP!$D$12,"")</f>
        <v/>
      </c>
      <c r="F319" s="4" t="str">
        <f>IF(A319&lt;=APP!$D$11*12,D319+E319+C319,"")</f>
        <v/>
      </c>
      <c r="G319" s="4" t="str">
        <f>IF(A319&lt;=APP!$D$11*12,F319*APP!$D$6,"")</f>
        <v/>
      </c>
    </row>
    <row r="320" spans="1:7" x14ac:dyDescent="0.3">
      <c r="A320" s="2">
        <f t="shared" si="4"/>
        <v>318</v>
      </c>
      <c r="B320" s="3" t="str">
        <f>IF(A320&lt;=APP!$D$11*12,EDATE(B319,1),"")</f>
        <v/>
      </c>
      <c r="C320" s="4" t="str">
        <f>IF(A320&lt;=APP!$D$11*12,APP!$D$10,"")</f>
        <v/>
      </c>
      <c r="D320" s="4" t="str">
        <f>IF(A320&lt;=APP!$D$11*12,F319,"")</f>
        <v/>
      </c>
      <c r="E320" s="4" t="str">
        <f>IF(A320&lt;=APP!$D$11*12,D320*APP!$D$12,"")</f>
        <v/>
      </c>
      <c r="F320" s="4" t="str">
        <f>IF(A320&lt;=APP!$D$11*12,D320+E320+C320,"")</f>
        <v/>
      </c>
      <c r="G320" s="4" t="str">
        <f>IF(A320&lt;=APP!$D$11*12,F320*APP!$D$6,"")</f>
        <v/>
      </c>
    </row>
    <row r="321" spans="1:7" x14ac:dyDescent="0.3">
      <c r="A321" s="2">
        <f t="shared" si="4"/>
        <v>319</v>
      </c>
      <c r="B321" s="3" t="str">
        <f>IF(A321&lt;=APP!$D$11*12,EDATE(B320,1),"")</f>
        <v/>
      </c>
      <c r="C321" s="4" t="str">
        <f>IF(A321&lt;=APP!$D$11*12,APP!$D$10,"")</f>
        <v/>
      </c>
      <c r="D321" s="4" t="str">
        <f>IF(A321&lt;=APP!$D$11*12,F320,"")</f>
        <v/>
      </c>
      <c r="E321" s="4" t="str">
        <f>IF(A321&lt;=APP!$D$11*12,D321*APP!$D$12,"")</f>
        <v/>
      </c>
      <c r="F321" s="4" t="str">
        <f>IF(A321&lt;=APP!$D$11*12,D321+E321+C321,"")</f>
        <v/>
      </c>
      <c r="G321" s="4" t="str">
        <f>IF(A321&lt;=APP!$D$11*12,F321*APP!$D$6,"")</f>
        <v/>
      </c>
    </row>
    <row r="322" spans="1:7" x14ac:dyDescent="0.3">
      <c r="A322" s="2">
        <f t="shared" si="4"/>
        <v>320</v>
      </c>
      <c r="B322" s="3" t="str">
        <f>IF(A322&lt;=APP!$D$11*12,EDATE(B321,1),"")</f>
        <v/>
      </c>
      <c r="C322" s="4" t="str">
        <f>IF(A322&lt;=APP!$D$11*12,APP!$D$10,"")</f>
        <v/>
      </c>
      <c r="D322" s="4" t="str">
        <f>IF(A322&lt;=APP!$D$11*12,F321,"")</f>
        <v/>
      </c>
      <c r="E322" s="4" t="str">
        <f>IF(A322&lt;=APP!$D$11*12,D322*APP!$D$12,"")</f>
        <v/>
      </c>
      <c r="F322" s="4" t="str">
        <f>IF(A322&lt;=APP!$D$11*12,D322+E322+C322,"")</f>
        <v/>
      </c>
      <c r="G322" s="4" t="str">
        <f>IF(A322&lt;=APP!$D$11*12,F322*APP!$D$6,"")</f>
        <v/>
      </c>
    </row>
    <row r="323" spans="1:7" x14ac:dyDescent="0.3">
      <c r="A323" s="2">
        <f t="shared" si="4"/>
        <v>321</v>
      </c>
      <c r="B323" s="3" t="str">
        <f>IF(A323&lt;=APP!$D$11*12,EDATE(B322,1),"")</f>
        <v/>
      </c>
      <c r="C323" s="4" t="str">
        <f>IF(A323&lt;=APP!$D$11*12,APP!$D$10,"")</f>
        <v/>
      </c>
      <c r="D323" s="4" t="str">
        <f>IF(A323&lt;=APP!$D$11*12,F322,"")</f>
        <v/>
      </c>
      <c r="E323" s="4" t="str">
        <f>IF(A323&lt;=APP!$D$11*12,D323*APP!$D$12,"")</f>
        <v/>
      </c>
      <c r="F323" s="4" t="str">
        <f>IF(A323&lt;=APP!$D$11*12,D323+E323+C323,"")</f>
        <v/>
      </c>
      <c r="G323" s="4" t="str">
        <f>IF(A323&lt;=APP!$D$11*12,F323*APP!$D$6,"")</f>
        <v/>
      </c>
    </row>
    <row r="324" spans="1:7" x14ac:dyDescent="0.3">
      <c r="A324" s="2">
        <f t="shared" ref="A324:A362" si="5">A323+1</f>
        <v>322</v>
      </c>
      <c r="B324" s="3" t="str">
        <f>IF(A324&lt;=APP!$D$11*12,EDATE(B323,1),"")</f>
        <v/>
      </c>
      <c r="C324" s="4" t="str">
        <f>IF(A324&lt;=APP!$D$11*12,APP!$D$10,"")</f>
        <v/>
      </c>
      <c r="D324" s="4" t="str">
        <f>IF(A324&lt;=APP!$D$11*12,F323,"")</f>
        <v/>
      </c>
      <c r="E324" s="4" t="str">
        <f>IF(A324&lt;=APP!$D$11*12,D324*APP!$D$12,"")</f>
        <v/>
      </c>
      <c r="F324" s="4" t="str">
        <f>IF(A324&lt;=APP!$D$11*12,D324+E324+C324,"")</f>
        <v/>
      </c>
      <c r="G324" s="4" t="str">
        <f>IF(A324&lt;=APP!$D$11*12,F324*APP!$D$6,"")</f>
        <v/>
      </c>
    </row>
    <row r="325" spans="1:7" x14ac:dyDescent="0.3">
      <c r="A325" s="2">
        <f t="shared" si="5"/>
        <v>323</v>
      </c>
      <c r="B325" s="3" t="str">
        <f>IF(A325&lt;=APP!$D$11*12,EDATE(B324,1),"")</f>
        <v/>
      </c>
      <c r="C325" s="4" t="str">
        <f>IF(A325&lt;=APP!$D$11*12,APP!$D$10,"")</f>
        <v/>
      </c>
      <c r="D325" s="4" t="str">
        <f>IF(A325&lt;=APP!$D$11*12,F324,"")</f>
        <v/>
      </c>
      <c r="E325" s="4" t="str">
        <f>IF(A325&lt;=APP!$D$11*12,D325*APP!$D$12,"")</f>
        <v/>
      </c>
      <c r="F325" s="4" t="str">
        <f>IF(A325&lt;=APP!$D$11*12,D325+E325+C325,"")</f>
        <v/>
      </c>
      <c r="G325" s="4" t="str">
        <f>IF(A325&lt;=APP!$D$11*12,F325*APP!$D$6,"")</f>
        <v/>
      </c>
    </row>
    <row r="326" spans="1:7" x14ac:dyDescent="0.3">
      <c r="A326" s="2">
        <f t="shared" si="5"/>
        <v>324</v>
      </c>
      <c r="B326" s="3" t="str">
        <f>IF(A326&lt;=APP!$D$11*12,EDATE(B325,1),"")</f>
        <v/>
      </c>
      <c r="C326" s="4" t="str">
        <f>IF(A326&lt;=APP!$D$11*12,APP!$D$10,"")</f>
        <v/>
      </c>
      <c r="D326" s="4" t="str">
        <f>IF(A326&lt;=APP!$D$11*12,F325,"")</f>
        <v/>
      </c>
      <c r="E326" s="4" t="str">
        <f>IF(A326&lt;=APP!$D$11*12,D326*APP!$D$12,"")</f>
        <v/>
      </c>
      <c r="F326" s="4" t="str">
        <f>IF(A326&lt;=APP!$D$11*12,D326+E326+C326,"")</f>
        <v/>
      </c>
      <c r="G326" s="4" t="str">
        <f>IF(A326&lt;=APP!$D$11*12,F326*APP!$D$6,"")</f>
        <v/>
      </c>
    </row>
    <row r="327" spans="1:7" x14ac:dyDescent="0.3">
      <c r="A327" s="2">
        <f t="shared" si="5"/>
        <v>325</v>
      </c>
      <c r="B327" s="3" t="str">
        <f>IF(A327&lt;=APP!$D$11*12,EDATE(B326,1),"")</f>
        <v/>
      </c>
      <c r="C327" s="4" t="str">
        <f>IF(A327&lt;=APP!$D$11*12,APP!$D$10,"")</f>
        <v/>
      </c>
      <c r="D327" s="4" t="str">
        <f>IF(A327&lt;=APP!$D$11*12,F326,"")</f>
        <v/>
      </c>
      <c r="E327" s="4" t="str">
        <f>IF(A327&lt;=APP!$D$11*12,D327*APP!$D$12,"")</f>
        <v/>
      </c>
      <c r="F327" s="4" t="str">
        <f>IF(A327&lt;=APP!$D$11*12,D327+E327+C327,"")</f>
        <v/>
      </c>
      <c r="G327" s="4" t="str">
        <f>IF(A327&lt;=APP!$D$11*12,F327*APP!$D$6,"")</f>
        <v/>
      </c>
    </row>
    <row r="328" spans="1:7" x14ac:dyDescent="0.3">
      <c r="A328" s="2">
        <f t="shared" si="5"/>
        <v>326</v>
      </c>
      <c r="B328" s="3" t="str">
        <f>IF(A328&lt;=APP!$D$11*12,EDATE(B327,1),"")</f>
        <v/>
      </c>
      <c r="C328" s="4" t="str">
        <f>IF(A328&lt;=APP!$D$11*12,APP!$D$10,"")</f>
        <v/>
      </c>
      <c r="D328" s="4" t="str">
        <f>IF(A328&lt;=APP!$D$11*12,F327,"")</f>
        <v/>
      </c>
      <c r="E328" s="4" t="str">
        <f>IF(A328&lt;=APP!$D$11*12,D328*APP!$D$12,"")</f>
        <v/>
      </c>
      <c r="F328" s="4" t="str">
        <f>IF(A328&lt;=APP!$D$11*12,D328+E328+C328,"")</f>
        <v/>
      </c>
      <c r="G328" s="4" t="str">
        <f>IF(A328&lt;=APP!$D$11*12,F328*APP!$D$6,"")</f>
        <v/>
      </c>
    </row>
    <row r="329" spans="1:7" x14ac:dyDescent="0.3">
      <c r="A329" s="2">
        <f t="shared" si="5"/>
        <v>327</v>
      </c>
      <c r="B329" s="3" t="str">
        <f>IF(A329&lt;=APP!$D$11*12,EDATE(B328,1),"")</f>
        <v/>
      </c>
      <c r="C329" s="4" t="str">
        <f>IF(A329&lt;=APP!$D$11*12,APP!$D$10,"")</f>
        <v/>
      </c>
      <c r="D329" s="4" t="str">
        <f>IF(A329&lt;=APP!$D$11*12,F328,"")</f>
        <v/>
      </c>
      <c r="E329" s="4" t="str">
        <f>IF(A329&lt;=APP!$D$11*12,D329*APP!$D$12,"")</f>
        <v/>
      </c>
      <c r="F329" s="4" t="str">
        <f>IF(A329&lt;=APP!$D$11*12,D329+E329+C329,"")</f>
        <v/>
      </c>
      <c r="G329" s="4" t="str">
        <f>IF(A329&lt;=APP!$D$11*12,F329*APP!$D$6,"")</f>
        <v/>
      </c>
    </row>
    <row r="330" spans="1:7" x14ac:dyDescent="0.3">
      <c r="A330" s="2">
        <f t="shared" si="5"/>
        <v>328</v>
      </c>
      <c r="B330" s="3" t="str">
        <f>IF(A330&lt;=APP!$D$11*12,EDATE(B329,1),"")</f>
        <v/>
      </c>
      <c r="C330" s="4" t="str">
        <f>IF(A330&lt;=APP!$D$11*12,APP!$D$10,"")</f>
        <v/>
      </c>
      <c r="D330" s="4" t="str">
        <f>IF(A330&lt;=APP!$D$11*12,F329,"")</f>
        <v/>
      </c>
      <c r="E330" s="4" t="str">
        <f>IF(A330&lt;=APP!$D$11*12,D330*APP!$D$12,"")</f>
        <v/>
      </c>
      <c r="F330" s="4" t="str">
        <f>IF(A330&lt;=APP!$D$11*12,D330+E330+C330,"")</f>
        <v/>
      </c>
      <c r="G330" s="4" t="str">
        <f>IF(A330&lt;=APP!$D$11*12,F330*APP!$D$6,"")</f>
        <v/>
      </c>
    </row>
    <row r="331" spans="1:7" x14ac:dyDescent="0.3">
      <c r="A331" s="2">
        <f t="shared" si="5"/>
        <v>329</v>
      </c>
      <c r="B331" s="3" t="str">
        <f>IF(A331&lt;=APP!$D$11*12,EDATE(B330,1),"")</f>
        <v/>
      </c>
      <c r="C331" s="4" t="str">
        <f>IF(A331&lt;=APP!$D$11*12,APP!$D$10,"")</f>
        <v/>
      </c>
      <c r="D331" s="4" t="str">
        <f>IF(A331&lt;=APP!$D$11*12,F330,"")</f>
        <v/>
      </c>
      <c r="E331" s="4" t="str">
        <f>IF(A331&lt;=APP!$D$11*12,D331*APP!$D$12,"")</f>
        <v/>
      </c>
      <c r="F331" s="4" t="str">
        <f>IF(A331&lt;=APP!$D$11*12,D331+E331+C331,"")</f>
        <v/>
      </c>
      <c r="G331" s="4" t="str">
        <f>IF(A331&lt;=APP!$D$11*12,F331*APP!$D$6,"")</f>
        <v/>
      </c>
    </row>
    <row r="332" spans="1:7" x14ac:dyDescent="0.3">
      <c r="A332" s="2">
        <f t="shared" si="5"/>
        <v>330</v>
      </c>
      <c r="B332" s="3" t="str">
        <f>IF(A332&lt;=APP!$D$11*12,EDATE(B331,1),"")</f>
        <v/>
      </c>
      <c r="C332" s="4" t="str">
        <f>IF(A332&lt;=APP!$D$11*12,APP!$D$10,"")</f>
        <v/>
      </c>
      <c r="D332" s="4" t="str">
        <f>IF(A332&lt;=APP!$D$11*12,F331,"")</f>
        <v/>
      </c>
      <c r="E332" s="4" t="str">
        <f>IF(A332&lt;=APP!$D$11*12,D332*APP!$D$12,"")</f>
        <v/>
      </c>
      <c r="F332" s="4" t="str">
        <f>IF(A332&lt;=APP!$D$11*12,D332+E332+C332,"")</f>
        <v/>
      </c>
      <c r="G332" s="4" t="str">
        <f>IF(A332&lt;=APP!$D$11*12,F332*APP!$D$6,"")</f>
        <v/>
      </c>
    </row>
    <row r="333" spans="1:7" x14ac:dyDescent="0.3">
      <c r="A333" s="2">
        <f t="shared" si="5"/>
        <v>331</v>
      </c>
      <c r="B333" s="3" t="str">
        <f>IF(A333&lt;=APP!$D$11*12,EDATE(B332,1),"")</f>
        <v/>
      </c>
      <c r="C333" s="4" t="str">
        <f>IF(A333&lt;=APP!$D$11*12,APP!$D$10,"")</f>
        <v/>
      </c>
      <c r="D333" s="4" t="str">
        <f>IF(A333&lt;=APP!$D$11*12,F332,"")</f>
        <v/>
      </c>
      <c r="E333" s="4" t="str">
        <f>IF(A333&lt;=APP!$D$11*12,D333*APP!$D$12,"")</f>
        <v/>
      </c>
      <c r="F333" s="4" t="str">
        <f>IF(A333&lt;=APP!$D$11*12,D333+E333+C333,"")</f>
        <v/>
      </c>
      <c r="G333" s="4" t="str">
        <f>IF(A333&lt;=APP!$D$11*12,F333*APP!$D$6,"")</f>
        <v/>
      </c>
    </row>
    <row r="334" spans="1:7" x14ac:dyDescent="0.3">
      <c r="A334" s="2">
        <f t="shared" si="5"/>
        <v>332</v>
      </c>
      <c r="B334" s="3" t="str">
        <f>IF(A334&lt;=APP!$D$11*12,EDATE(B333,1),"")</f>
        <v/>
      </c>
      <c r="C334" s="4" t="str">
        <f>IF(A334&lt;=APP!$D$11*12,APP!$D$10,"")</f>
        <v/>
      </c>
      <c r="D334" s="4" t="str">
        <f>IF(A334&lt;=APP!$D$11*12,F333,"")</f>
        <v/>
      </c>
      <c r="E334" s="4" t="str">
        <f>IF(A334&lt;=APP!$D$11*12,D334*APP!$D$12,"")</f>
        <v/>
      </c>
      <c r="F334" s="4" t="str">
        <f>IF(A334&lt;=APP!$D$11*12,D334+E334+C334,"")</f>
        <v/>
      </c>
      <c r="G334" s="4" t="str">
        <f>IF(A334&lt;=APP!$D$11*12,F334*APP!$D$6,"")</f>
        <v/>
      </c>
    </row>
    <row r="335" spans="1:7" x14ac:dyDescent="0.3">
      <c r="A335" s="2">
        <f t="shared" si="5"/>
        <v>333</v>
      </c>
      <c r="B335" s="3" t="str">
        <f>IF(A335&lt;=APP!$D$11*12,EDATE(B334,1),"")</f>
        <v/>
      </c>
      <c r="C335" s="4" t="str">
        <f>IF(A335&lt;=APP!$D$11*12,APP!$D$10,"")</f>
        <v/>
      </c>
      <c r="D335" s="4" t="str">
        <f>IF(A335&lt;=APP!$D$11*12,F334,"")</f>
        <v/>
      </c>
      <c r="E335" s="4" t="str">
        <f>IF(A335&lt;=APP!$D$11*12,D335*APP!$D$12,"")</f>
        <v/>
      </c>
      <c r="F335" s="4" t="str">
        <f>IF(A335&lt;=APP!$D$11*12,D335+E335+C335,"")</f>
        <v/>
      </c>
      <c r="G335" s="4" t="str">
        <f>IF(A335&lt;=APP!$D$11*12,F335*APP!$D$6,"")</f>
        <v/>
      </c>
    </row>
    <row r="336" spans="1:7" x14ac:dyDescent="0.3">
      <c r="A336" s="2">
        <f t="shared" si="5"/>
        <v>334</v>
      </c>
      <c r="B336" s="3" t="str">
        <f>IF(A336&lt;=APP!$D$11*12,EDATE(B335,1),"")</f>
        <v/>
      </c>
      <c r="C336" s="4" t="str">
        <f>IF(A336&lt;=APP!$D$11*12,APP!$D$10,"")</f>
        <v/>
      </c>
      <c r="D336" s="4" t="str">
        <f>IF(A336&lt;=APP!$D$11*12,F335,"")</f>
        <v/>
      </c>
      <c r="E336" s="4" t="str">
        <f>IF(A336&lt;=APP!$D$11*12,D336*APP!$D$12,"")</f>
        <v/>
      </c>
      <c r="F336" s="4" t="str">
        <f>IF(A336&lt;=APP!$D$11*12,D336+E336+C336,"")</f>
        <v/>
      </c>
      <c r="G336" s="4" t="str">
        <f>IF(A336&lt;=APP!$D$11*12,F336*APP!$D$6,"")</f>
        <v/>
      </c>
    </row>
    <row r="337" spans="1:7" x14ac:dyDescent="0.3">
      <c r="A337" s="2">
        <f t="shared" si="5"/>
        <v>335</v>
      </c>
      <c r="B337" s="3" t="str">
        <f>IF(A337&lt;=APP!$D$11*12,EDATE(B336,1),"")</f>
        <v/>
      </c>
      <c r="C337" s="4" t="str">
        <f>IF(A337&lt;=APP!$D$11*12,APP!$D$10,"")</f>
        <v/>
      </c>
      <c r="D337" s="4" t="str">
        <f>IF(A337&lt;=APP!$D$11*12,F336,"")</f>
        <v/>
      </c>
      <c r="E337" s="4" t="str">
        <f>IF(A337&lt;=APP!$D$11*12,D337*APP!$D$12,"")</f>
        <v/>
      </c>
      <c r="F337" s="4" t="str">
        <f>IF(A337&lt;=APP!$D$11*12,D337+E337+C337,"")</f>
        <v/>
      </c>
      <c r="G337" s="4" t="str">
        <f>IF(A337&lt;=APP!$D$11*12,F337*APP!$D$6,"")</f>
        <v/>
      </c>
    </row>
    <row r="338" spans="1:7" x14ac:dyDescent="0.3">
      <c r="A338" s="2">
        <f t="shared" si="5"/>
        <v>336</v>
      </c>
      <c r="B338" s="3" t="str">
        <f>IF(A338&lt;=APP!$D$11*12,EDATE(B337,1),"")</f>
        <v/>
      </c>
      <c r="C338" s="4" t="str">
        <f>IF(A338&lt;=APP!$D$11*12,APP!$D$10,"")</f>
        <v/>
      </c>
      <c r="D338" s="4" t="str">
        <f>IF(A338&lt;=APP!$D$11*12,F337,"")</f>
        <v/>
      </c>
      <c r="E338" s="4" t="str">
        <f>IF(A338&lt;=APP!$D$11*12,D338*APP!$D$12,"")</f>
        <v/>
      </c>
      <c r="F338" s="4" t="str">
        <f>IF(A338&lt;=APP!$D$11*12,D338+E338+C338,"")</f>
        <v/>
      </c>
      <c r="G338" s="4" t="str">
        <f>IF(A338&lt;=APP!$D$11*12,F338*APP!$D$6,"")</f>
        <v/>
      </c>
    </row>
    <row r="339" spans="1:7" x14ac:dyDescent="0.3">
      <c r="A339" s="2">
        <f t="shared" si="5"/>
        <v>337</v>
      </c>
      <c r="B339" s="3" t="str">
        <f>IF(A339&lt;=APP!$D$11*12,EDATE(B338,1),"")</f>
        <v/>
      </c>
      <c r="C339" s="4" t="str">
        <f>IF(A339&lt;=APP!$D$11*12,APP!$D$10,"")</f>
        <v/>
      </c>
      <c r="D339" s="4" t="str">
        <f>IF(A339&lt;=APP!$D$11*12,F338,"")</f>
        <v/>
      </c>
      <c r="E339" s="4" t="str">
        <f>IF(A339&lt;=APP!$D$11*12,D339*APP!$D$12,"")</f>
        <v/>
      </c>
      <c r="F339" s="4" t="str">
        <f>IF(A339&lt;=APP!$D$11*12,D339+E339+C339,"")</f>
        <v/>
      </c>
      <c r="G339" s="4" t="str">
        <f>IF(A339&lt;=APP!$D$11*12,F339*APP!$D$6,"")</f>
        <v/>
      </c>
    </row>
    <row r="340" spans="1:7" x14ac:dyDescent="0.3">
      <c r="A340" s="2">
        <f t="shared" si="5"/>
        <v>338</v>
      </c>
      <c r="B340" s="3" t="str">
        <f>IF(A340&lt;=APP!$D$11*12,EDATE(B339,1),"")</f>
        <v/>
      </c>
      <c r="C340" s="4" t="str">
        <f>IF(A340&lt;=APP!$D$11*12,APP!$D$10,"")</f>
        <v/>
      </c>
      <c r="D340" s="4" t="str">
        <f>IF(A340&lt;=APP!$D$11*12,F339,"")</f>
        <v/>
      </c>
      <c r="E340" s="4" t="str">
        <f>IF(A340&lt;=APP!$D$11*12,D340*APP!$D$12,"")</f>
        <v/>
      </c>
      <c r="F340" s="4" t="str">
        <f>IF(A340&lt;=APP!$D$11*12,D340+E340+C340,"")</f>
        <v/>
      </c>
      <c r="G340" s="4" t="str">
        <f>IF(A340&lt;=APP!$D$11*12,F340*APP!$D$6,"")</f>
        <v/>
      </c>
    </row>
    <row r="341" spans="1:7" x14ac:dyDescent="0.3">
      <c r="A341" s="2">
        <f t="shared" si="5"/>
        <v>339</v>
      </c>
      <c r="B341" s="3" t="str">
        <f>IF(A341&lt;=APP!$D$11*12,EDATE(B340,1),"")</f>
        <v/>
      </c>
      <c r="C341" s="4" t="str">
        <f>IF(A341&lt;=APP!$D$11*12,APP!$D$10,"")</f>
        <v/>
      </c>
      <c r="D341" s="4" t="str">
        <f>IF(A341&lt;=APP!$D$11*12,F340,"")</f>
        <v/>
      </c>
      <c r="E341" s="4" t="str">
        <f>IF(A341&lt;=APP!$D$11*12,D341*APP!$D$12,"")</f>
        <v/>
      </c>
      <c r="F341" s="4" t="str">
        <f>IF(A341&lt;=APP!$D$11*12,D341+E341+C341,"")</f>
        <v/>
      </c>
      <c r="G341" s="4" t="str">
        <f>IF(A341&lt;=APP!$D$11*12,F341*APP!$D$6,"")</f>
        <v/>
      </c>
    </row>
    <row r="342" spans="1:7" x14ac:dyDescent="0.3">
      <c r="A342" s="2">
        <f t="shared" si="5"/>
        <v>340</v>
      </c>
      <c r="B342" s="3" t="str">
        <f>IF(A342&lt;=APP!$D$11*12,EDATE(B341,1),"")</f>
        <v/>
      </c>
      <c r="C342" s="4" t="str">
        <f>IF(A342&lt;=APP!$D$11*12,APP!$D$10,"")</f>
        <v/>
      </c>
      <c r="D342" s="4" t="str">
        <f>IF(A342&lt;=APP!$D$11*12,F341,"")</f>
        <v/>
      </c>
      <c r="E342" s="4" t="str">
        <f>IF(A342&lt;=APP!$D$11*12,D342*APP!$D$12,"")</f>
        <v/>
      </c>
      <c r="F342" s="4" t="str">
        <f>IF(A342&lt;=APP!$D$11*12,D342+E342+C342,"")</f>
        <v/>
      </c>
      <c r="G342" s="4" t="str">
        <f>IF(A342&lt;=APP!$D$11*12,F342*APP!$D$6,"")</f>
        <v/>
      </c>
    </row>
    <row r="343" spans="1:7" x14ac:dyDescent="0.3">
      <c r="A343" s="2">
        <f t="shared" si="5"/>
        <v>341</v>
      </c>
      <c r="B343" s="3" t="str">
        <f>IF(A343&lt;=APP!$D$11*12,EDATE(B342,1),"")</f>
        <v/>
      </c>
      <c r="C343" s="4" t="str">
        <f>IF(A343&lt;=APP!$D$11*12,APP!$D$10,"")</f>
        <v/>
      </c>
      <c r="D343" s="4" t="str">
        <f>IF(A343&lt;=APP!$D$11*12,F342,"")</f>
        <v/>
      </c>
      <c r="E343" s="4" t="str">
        <f>IF(A343&lt;=APP!$D$11*12,D343*APP!$D$12,"")</f>
        <v/>
      </c>
      <c r="F343" s="4" t="str">
        <f>IF(A343&lt;=APP!$D$11*12,D343+E343+C343,"")</f>
        <v/>
      </c>
      <c r="G343" s="4" t="str">
        <f>IF(A343&lt;=APP!$D$11*12,F343*APP!$D$6,"")</f>
        <v/>
      </c>
    </row>
    <row r="344" spans="1:7" x14ac:dyDescent="0.3">
      <c r="A344" s="2">
        <f t="shared" si="5"/>
        <v>342</v>
      </c>
      <c r="B344" s="3" t="str">
        <f>IF(A344&lt;=APP!$D$11*12,EDATE(B343,1),"")</f>
        <v/>
      </c>
      <c r="C344" s="4" t="str">
        <f>IF(A344&lt;=APP!$D$11*12,APP!$D$10,"")</f>
        <v/>
      </c>
      <c r="D344" s="4" t="str">
        <f>IF(A344&lt;=APP!$D$11*12,F343,"")</f>
        <v/>
      </c>
      <c r="E344" s="4" t="str">
        <f>IF(A344&lt;=APP!$D$11*12,D344*APP!$D$12,"")</f>
        <v/>
      </c>
      <c r="F344" s="4" t="str">
        <f>IF(A344&lt;=APP!$D$11*12,D344+E344+C344,"")</f>
        <v/>
      </c>
      <c r="G344" s="4" t="str">
        <f>IF(A344&lt;=APP!$D$11*12,F344*APP!$D$6,"")</f>
        <v/>
      </c>
    </row>
    <row r="345" spans="1:7" x14ac:dyDescent="0.3">
      <c r="A345" s="2">
        <f t="shared" si="5"/>
        <v>343</v>
      </c>
      <c r="B345" s="3" t="str">
        <f>IF(A345&lt;=APP!$D$11*12,EDATE(B344,1),"")</f>
        <v/>
      </c>
      <c r="C345" s="4" t="str">
        <f>IF(A345&lt;=APP!$D$11*12,APP!$D$10,"")</f>
        <v/>
      </c>
      <c r="D345" s="4" t="str">
        <f>IF(A345&lt;=APP!$D$11*12,F344,"")</f>
        <v/>
      </c>
      <c r="E345" s="4" t="str">
        <f>IF(A345&lt;=APP!$D$11*12,D345*APP!$D$12,"")</f>
        <v/>
      </c>
      <c r="F345" s="4" t="str">
        <f>IF(A345&lt;=APP!$D$11*12,D345+E345+C345,"")</f>
        <v/>
      </c>
      <c r="G345" s="4" t="str">
        <f>IF(A345&lt;=APP!$D$11*12,F345*APP!$D$6,"")</f>
        <v/>
      </c>
    </row>
    <row r="346" spans="1:7" x14ac:dyDescent="0.3">
      <c r="A346" s="2">
        <f t="shared" si="5"/>
        <v>344</v>
      </c>
      <c r="B346" s="3" t="str">
        <f>IF(A346&lt;=APP!$D$11*12,EDATE(B345,1),"")</f>
        <v/>
      </c>
      <c r="C346" s="4" t="str">
        <f>IF(A346&lt;=APP!$D$11*12,APP!$D$10,"")</f>
        <v/>
      </c>
      <c r="D346" s="4" t="str">
        <f>IF(A346&lt;=APP!$D$11*12,F345,"")</f>
        <v/>
      </c>
      <c r="E346" s="4" t="str">
        <f>IF(A346&lt;=APP!$D$11*12,D346*APP!$D$12,"")</f>
        <v/>
      </c>
      <c r="F346" s="4" t="str">
        <f>IF(A346&lt;=APP!$D$11*12,D346+E346+C346,"")</f>
        <v/>
      </c>
      <c r="G346" s="4" t="str">
        <f>IF(A346&lt;=APP!$D$11*12,F346*APP!$D$6,"")</f>
        <v/>
      </c>
    </row>
    <row r="347" spans="1:7" x14ac:dyDescent="0.3">
      <c r="A347" s="2">
        <f t="shared" si="5"/>
        <v>345</v>
      </c>
      <c r="B347" s="3" t="str">
        <f>IF(A347&lt;=APP!$D$11*12,EDATE(B346,1),"")</f>
        <v/>
      </c>
      <c r="C347" s="4" t="str">
        <f>IF(A347&lt;=APP!$D$11*12,APP!$D$10,"")</f>
        <v/>
      </c>
      <c r="D347" s="4" t="str">
        <f>IF(A347&lt;=APP!$D$11*12,F346,"")</f>
        <v/>
      </c>
      <c r="E347" s="4" t="str">
        <f>IF(A347&lt;=APP!$D$11*12,D347*APP!$D$12,"")</f>
        <v/>
      </c>
      <c r="F347" s="4" t="str">
        <f>IF(A347&lt;=APP!$D$11*12,D347+E347+C347,"")</f>
        <v/>
      </c>
      <c r="G347" s="4" t="str">
        <f>IF(A347&lt;=APP!$D$11*12,F347*APP!$D$6,"")</f>
        <v/>
      </c>
    </row>
    <row r="348" spans="1:7" x14ac:dyDescent="0.3">
      <c r="A348" s="2">
        <f t="shared" si="5"/>
        <v>346</v>
      </c>
      <c r="B348" s="3" t="str">
        <f>IF(A348&lt;=APP!$D$11*12,EDATE(B347,1),"")</f>
        <v/>
      </c>
      <c r="C348" s="4" t="str">
        <f>IF(A348&lt;=APP!$D$11*12,APP!$D$10,"")</f>
        <v/>
      </c>
      <c r="D348" s="4" t="str">
        <f>IF(A348&lt;=APP!$D$11*12,F347,"")</f>
        <v/>
      </c>
      <c r="E348" s="4" t="str">
        <f>IF(A348&lt;=APP!$D$11*12,D348*APP!$D$12,"")</f>
        <v/>
      </c>
      <c r="F348" s="4" t="str">
        <f>IF(A348&lt;=APP!$D$11*12,D348+E348+C348,"")</f>
        <v/>
      </c>
      <c r="G348" s="4" t="str">
        <f>IF(A348&lt;=APP!$D$11*12,F348*APP!$D$6,"")</f>
        <v/>
      </c>
    </row>
    <row r="349" spans="1:7" x14ac:dyDescent="0.3">
      <c r="A349" s="2">
        <f t="shared" si="5"/>
        <v>347</v>
      </c>
      <c r="B349" s="3" t="str">
        <f>IF(A349&lt;=APP!$D$11*12,EDATE(B348,1),"")</f>
        <v/>
      </c>
      <c r="C349" s="4" t="str">
        <f>IF(A349&lt;=APP!$D$11*12,APP!$D$10,"")</f>
        <v/>
      </c>
      <c r="D349" s="4" t="str">
        <f>IF(A349&lt;=APP!$D$11*12,F348,"")</f>
        <v/>
      </c>
      <c r="E349" s="4" t="str">
        <f>IF(A349&lt;=APP!$D$11*12,D349*APP!$D$12,"")</f>
        <v/>
      </c>
      <c r="F349" s="4" t="str">
        <f>IF(A349&lt;=APP!$D$11*12,D349+E349+C349,"")</f>
        <v/>
      </c>
      <c r="G349" s="4" t="str">
        <f>IF(A349&lt;=APP!$D$11*12,F349*APP!$D$6,"")</f>
        <v/>
      </c>
    </row>
    <row r="350" spans="1:7" x14ac:dyDescent="0.3">
      <c r="A350" s="2">
        <f t="shared" si="5"/>
        <v>348</v>
      </c>
      <c r="B350" s="3" t="str">
        <f>IF(A350&lt;=APP!$D$11*12,EDATE(B349,1),"")</f>
        <v/>
      </c>
      <c r="C350" s="4" t="str">
        <f>IF(A350&lt;=APP!$D$11*12,APP!$D$10,"")</f>
        <v/>
      </c>
      <c r="D350" s="4" t="str">
        <f>IF(A350&lt;=APP!$D$11*12,F349,"")</f>
        <v/>
      </c>
      <c r="E350" s="4" t="str">
        <f>IF(A350&lt;=APP!$D$11*12,D350*APP!$D$12,"")</f>
        <v/>
      </c>
      <c r="F350" s="4" t="str">
        <f>IF(A350&lt;=APP!$D$11*12,D350+E350+C350,"")</f>
        <v/>
      </c>
      <c r="G350" s="4" t="str">
        <f>IF(A350&lt;=APP!$D$11*12,F350*APP!$D$6,"")</f>
        <v/>
      </c>
    </row>
    <row r="351" spans="1:7" x14ac:dyDescent="0.3">
      <c r="A351" s="2">
        <f t="shared" si="5"/>
        <v>349</v>
      </c>
      <c r="B351" s="3" t="str">
        <f>IF(A351&lt;=APP!$D$11*12,EDATE(B350,1),"")</f>
        <v/>
      </c>
      <c r="C351" s="4" t="str">
        <f>IF(A351&lt;=APP!$D$11*12,APP!$D$10,"")</f>
        <v/>
      </c>
      <c r="D351" s="4" t="str">
        <f>IF(A351&lt;=APP!$D$11*12,F350,"")</f>
        <v/>
      </c>
      <c r="E351" s="4" t="str">
        <f>IF(A351&lt;=APP!$D$11*12,D351*APP!$D$12,"")</f>
        <v/>
      </c>
      <c r="F351" s="4" t="str">
        <f>IF(A351&lt;=APP!$D$11*12,D351+E351+C351,"")</f>
        <v/>
      </c>
      <c r="G351" s="4" t="str">
        <f>IF(A351&lt;=APP!$D$11*12,F351*APP!$D$6,"")</f>
        <v/>
      </c>
    </row>
    <row r="352" spans="1:7" x14ac:dyDescent="0.3">
      <c r="A352" s="2">
        <f t="shared" si="5"/>
        <v>350</v>
      </c>
      <c r="B352" s="3" t="str">
        <f>IF(A352&lt;=APP!$D$11*12,EDATE(B351,1),"")</f>
        <v/>
      </c>
      <c r="C352" s="4" t="str">
        <f>IF(A352&lt;=APP!$D$11*12,APP!$D$10,"")</f>
        <v/>
      </c>
      <c r="D352" s="4" t="str">
        <f>IF(A352&lt;=APP!$D$11*12,F351,"")</f>
        <v/>
      </c>
      <c r="E352" s="4" t="str">
        <f>IF(A352&lt;=APP!$D$11*12,D352*APP!$D$12,"")</f>
        <v/>
      </c>
      <c r="F352" s="4" t="str">
        <f>IF(A352&lt;=APP!$D$11*12,D352+E352+C352,"")</f>
        <v/>
      </c>
      <c r="G352" s="4" t="str">
        <f>IF(A352&lt;=APP!$D$11*12,F352*APP!$D$6,"")</f>
        <v/>
      </c>
    </row>
    <row r="353" spans="1:7" x14ac:dyDescent="0.3">
      <c r="A353" s="2">
        <f t="shared" si="5"/>
        <v>351</v>
      </c>
      <c r="B353" s="3" t="str">
        <f>IF(A353&lt;=APP!$D$11*12,EDATE(B352,1),"")</f>
        <v/>
      </c>
      <c r="C353" s="4" t="str">
        <f>IF(A353&lt;=APP!$D$11*12,APP!$D$10,"")</f>
        <v/>
      </c>
      <c r="D353" s="4" t="str">
        <f>IF(A353&lt;=APP!$D$11*12,F352,"")</f>
        <v/>
      </c>
      <c r="E353" s="4" t="str">
        <f>IF(A353&lt;=APP!$D$11*12,D353*APP!$D$12,"")</f>
        <v/>
      </c>
      <c r="F353" s="4" t="str">
        <f>IF(A353&lt;=APP!$D$11*12,D353+E353+C353,"")</f>
        <v/>
      </c>
      <c r="G353" s="4" t="str">
        <f>IF(A353&lt;=APP!$D$11*12,F353*APP!$D$6,"")</f>
        <v/>
      </c>
    </row>
    <row r="354" spans="1:7" x14ac:dyDescent="0.3">
      <c r="A354" s="2">
        <f t="shared" si="5"/>
        <v>352</v>
      </c>
      <c r="B354" s="3" t="str">
        <f>IF(A354&lt;=APP!$D$11*12,EDATE(B353,1),"")</f>
        <v/>
      </c>
      <c r="C354" s="4" t="str">
        <f>IF(A354&lt;=APP!$D$11*12,APP!$D$10,"")</f>
        <v/>
      </c>
      <c r="D354" s="4" t="str">
        <f>IF(A354&lt;=APP!$D$11*12,F353,"")</f>
        <v/>
      </c>
      <c r="E354" s="4" t="str">
        <f>IF(A354&lt;=APP!$D$11*12,D354*APP!$D$12,"")</f>
        <v/>
      </c>
      <c r="F354" s="4" t="str">
        <f>IF(A354&lt;=APP!$D$11*12,D354+E354+C354,"")</f>
        <v/>
      </c>
      <c r="G354" s="4" t="str">
        <f>IF(A354&lt;=APP!$D$11*12,F354*APP!$D$6,"")</f>
        <v/>
      </c>
    </row>
    <row r="355" spans="1:7" x14ac:dyDescent="0.3">
      <c r="A355" s="2">
        <f t="shared" si="5"/>
        <v>353</v>
      </c>
      <c r="B355" s="3" t="str">
        <f>IF(A355&lt;=APP!$D$11*12,EDATE(B354,1),"")</f>
        <v/>
      </c>
      <c r="C355" s="4" t="str">
        <f>IF(A355&lt;=APP!$D$11*12,APP!$D$10,"")</f>
        <v/>
      </c>
      <c r="D355" s="4" t="str">
        <f>IF(A355&lt;=APP!$D$11*12,F354,"")</f>
        <v/>
      </c>
      <c r="E355" s="4" t="str">
        <f>IF(A355&lt;=APP!$D$11*12,D355*APP!$D$12,"")</f>
        <v/>
      </c>
      <c r="F355" s="4" t="str">
        <f>IF(A355&lt;=APP!$D$11*12,D355+E355+C355,"")</f>
        <v/>
      </c>
      <c r="G355" s="4" t="str">
        <f>IF(A355&lt;=APP!$D$11*12,F355*APP!$D$6,"")</f>
        <v/>
      </c>
    </row>
    <row r="356" spans="1:7" x14ac:dyDescent="0.3">
      <c r="A356" s="2">
        <f t="shared" si="5"/>
        <v>354</v>
      </c>
      <c r="B356" s="3" t="str">
        <f>IF(A356&lt;=APP!$D$11*12,EDATE(B355,1),"")</f>
        <v/>
      </c>
      <c r="C356" s="4" t="str">
        <f>IF(A356&lt;=APP!$D$11*12,APP!$D$10,"")</f>
        <v/>
      </c>
      <c r="D356" s="4" t="str">
        <f>IF(A356&lt;=APP!$D$11*12,F355,"")</f>
        <v/>
      </c>
      <c r="E356" s="4" t="str">
        <f>IF(A356&lt;=APP!$D$11*12,D356*APP!$D$12,"")</f>
        <v/>
      </c>
      <c r="F356" s="4" t="str">
        <f>IF(A356&lt;=APP!$D$11*12,D356+E356+C356,"")</f>
        <v/>
      </c>
      <c r="G356" s="4" t="str">
        <f>IF(A356&lt;=APP!$D$11*12,F356*APP!$D$6,"")</f>
        <v/>
      </c>
    </row>
    <row r="357" spans="1:7" x14ac:dyDescent="0.3">
      <c r="A357" s="2">
        <f t="shared" si="5"/>
        <v>355</v>
      </c>
      <c r="B357" s="3" t="str">
        <f>IF(A357&lt;=APP!$D$11*12,EDATE(B356,1),"")</f>
        <v/>
      </c>
      <c r="C357" s="4" t="str">
        <f>IF(A357&lt;=APP!$D$11*12,APP!$D$10,"")</f>
        <v/>
      </c>
      <c r="D357" s="4" t="str">
        <f>IF(A357&lt;=APP!$D$11*12,F356,"")</f>
        <v/>
      </c>
      <c r="E357" s="4" t="str">
        <f>IF(A357&lt;=APP!$D$11*12,D357*APP!$D$12,"")</f>
        <v/>
      </c>
      <c r="F357" s="4" t="str">
        <f>IF(A357&lt;=APP!$D$11*12,D357+E357+C357,"")</f>
        <v/>
      </c>
      <c r="G357" s="4" t="str">
        <f>IF(A357&lt;=APP!$D$11*12,F357*APP!$D$6,"")</f>
        <v/>
      </c>
    </row>
    <row r="358" spans="1:7" x14ac:dyDescent="0.3">
      <c r="A358" s="2">
        <f t="shared" si="5"/>
        <v>356</v>
      </c>
      <c r="B358" s="3" t="str">
        <f>IF(A358&lt;=APP!$D$11*12,EDATE(B357,1),"")</f>
        <v/>
      </c>
      <c r="C358" s="4" t="str">
        <f>IF(A358&lt;=APP!$D$11*12,APP!$D$10,"")</f>
        <v/>
      </c>
      <c r="D358" s="4" t="str">
        <f>IF(A358&lt;=APP!$D$11*12,F357,"")</f>
        <v/>
      </c>
      <c r="E358" s="4" t="str">
        <f>IF(A358&lt;=APP!$D$11*12,D358*APP!$D$12,"")</f>
        <v/>
      </c>
      <c r="F358" s="4" t="str">
        <f>IF(A358&lt;=APP!$D$11*12,D358+E358+C358,"")</f>
        <v/>
      </c>
      <c r="G358" s="4" t="str">
        <f>IF(A358&lt;=APP!$D$11*12,F358*APP!$D$6,"")</f>
        <v/>
      </c>
    </row>
    <row r="359" spans="1:7" x14ac:dyDescent="0.3">
      <c r="A359" s="2">
        <f t="shared" si="5"/>
        <v>357</v>
      </c>
      <c r="B359" s="3" t="str">
        <f>IF(A359&lt;=APP!$D$11*12,EDATE(B358,1),"")</f>
        <v/>
      </c>
      <c r="C359" s="4" t="str">
        <f>IF(A359&lt;=APP!$D$11*12,APP!$D$10,"")</f>
        <v/>
      </c>
      <c r="D359" s="4" t="str">
        <f>IF(A359&lt;=APP!$D$11*12,F358,"")</f>
        <v/>
      </c>
      <c r="E359" s="4" t="str">
        <f>IF(A359&lt;=APP!$D$11*12,D359*APP!$D$12,"")</f>
        <v/>
      </c>
      <c r="F359" s="4" t="str">
        <f>IF(A359&lt;=APP!$D$11*12,D359+E359+C359,"")</f>
        <v/>
      </c>
      <c r="G359" s="4" t="str">
        <f>IF(A359&lt;=APP!$D$11*12,F359*APP!$D$6,"")</f>
        <v/>
      </c>
    </row>
    <row r="360" spans="1:7" x14ac:dyDescent="0.3">
      <c r="A360" s="2">
        <f t="shared" si="5"/>
        <v>358</v>
      </c>
      <c r="B360" s="3" t="str">
        <f>IF(A360&lt;=APP!$D$11*12,EDATE(B359,1),"")</f>
        <v/>
      </c>
      <c r="C360" s="4" t="str">
        <f>IF(A360&lt;=APP!$D$11*12,APP!$D$10,"")</f>
        <v/>
      </c>
      <c r="D360" s="4" t="str">
        <f>IF(A360&lt;=APP!$D$11*12,F359,"")</f>
        <v/>
      </c>
      <c r="E360" s="4" t="str">
        <f>IF(A360&lt;=APP!$D$11*12,D360*APP!$D$12,"")</f>
        <v/>
      </c>
      <c r="F360" s="4" t="str">
        <f>IF(A360&lt;=APP!$D$11*12,D360+E360+C360,"")</f>
        <v/>
      </c>
      <c r="G360" s="4" t="str">
        <f>IF(A360&lt;=APP!$D$11*12,F360*APP!$D$6,"")</f>
        <v/>
      </c>
    </row>
    <row r="361" spans="1:7" x14ac:dyDescent="0.3">
      <c r="A361" s="2">
        <f t="shared" si="5"/>
        <v>359</v>
      </c>
      <c r="B361" s="3" t="str">
        <f>IF(A361&lt;=APP!$D$11*12,EDATE(B360,1),"")</f>
        <v/>
      </c>
      <c r="C361" s="4" t="str">
        <f>IF(A361&lt;=APP!$D$11*12,APP!$D$10,"")</f>
        <v/>
      </c>
      <c r="D361" s="4" t="str">
        <f>IF(A361&lt;=APP!$D$11*12,F360,"")</f>
        <v/>
      </c>
      <c r="E361" s="4" t="str">
        <f>IF(A361&lt;=APP!$D$11*12,D361*APP!$D$12,"")</f>
        <v/>
      </c>
      <c r="F361" s="4" t="str">
        <f>IF(A361&lt;=APP!$D$11*12,D361+E361+C361,"")</f>
        <v/>
      </c>
      <c r="G361" s="4" t="str">
        <f>IF(A361&lt;=APP!$D$11*12,F361*APP!$D$6,"")</f>
        <v/>
      </c>
    </row>
    <row r="362" spans="1:7" x14ac:dyDescent="0.3">
      <c r="A362" s="2">
        <f t="shared" si="5"/>
        <v>360</v>
      </c>
      <c r="B362" s="3" t="str">
        <f>IF(A362&lt;=APP!$D$11*12,EDATE(B361,1),"")</f>
        <v/>
      </c>
      <c r="C362" s="4" t="str">
        <f>IF(A362&lt;=APP!$D$11*12,APP!$D$10,"")</f>
        <v/>
      </c>
      <c r="D362" s="4" t="str">
        <f>IF(A362&lt;=APP!$D$11*12,F361,"")</f>
        <v/>
      </c>
      <c r="E362" s="4" t="str">
        <f>IF(A362&lt;=APP!$D$11*12,D362*APP!$D$12,"")</f>
        <v/>
      </c>
      <c r="F362" s="4" t="str">
        <f>IF(A362&lt;=APP!$D$11*12,D362+E362+C362,"")</f>
        <v/>
      </c>
      <c r="G362" s="4" t="str">
        <f>IF(A362&lt;=APP!$D$11*12,F362*APP!$D$6,"")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A740-7050-4744-8E35-0F8A807566FA}">
  <dimension ref="A1:D19"/>
  <sheetViews>
    <sheetView workbookViewId="0">
      <pane ySplit="1" topLeftCell="A2" activePane="bottomLeft" state="frozen"/>
      <selection pane="bottomLeft" sqref="A1:J1"/>
    </sheetView>
  </sheetViews>
  <sheetFormatPr defaultRowHeight="14.4" x14ac:dyDescent="0.3"/>
  <cols>
    <col min="1" max="1" width="31.44140625" bestFit="1" customWidth="1"/>
    <col min="2" max="2" width="12.109375" bestFit="1" customWidth="1"/>
    <col min="3" max="3" width="19.33203125" bestFit="1" customWidth="1"/>
    <col min="4" max="4" width="4.88671875" bestFit="1" customWidth="1"/>
  </cols>
  <sheetData>
    <row r="1" spans="1:4" x14ac:dyDescent="0.3">
      <c r="A1" s="2" t="s">
        <v>37</v>
      </c>
      <c r="B1" s="2" t="s">
        <v>38</v>
      </c>
      <c r="C1" s="2" t="s">
        <v>26</v>
      </c>
      <c r="D1" s="2" t="s">
        <v>39</v>
      </c>
    </row>
    <row r="2" spans="1:4" x14ac:dyDescent="0.3">
      <c r="A2" s="2" t="str">
        <f>B2&amp;"-"&amp;C2</f>
        <v>Conservador-PAPEL</v>
      </c>
      <c r="B2" s="2" t="s">
        <v>40</v>
      </c>
      <c r="C2" s="2" t="s">
        <v>29</v>
      </c>
      <c r="D2" s="28">
        <v>0.3</v>
      </c>
    </row>
    <row r="3" spans="1:4" x14ac:dyDescent="0.3">
      <c r="A3" s="2" t="str">
        <f t="shared" ref="A3:A19" si="0">B3&amp;"-"&amp;C3</f>
        <v>Conservador-TIJOLO</v>
      </c>
      <c r="B3" s="2" t="s">
        <v>40</v>
      </c>
      <c r="C3" s="2" t="s">
        <v>30</v>
      </c>
      <c r="D3" s="28">
        <v>0.5</v>
      </c>
    </row>
    <row r="4" spans="1:4" x14ac:dyDescent="0.3">
      <c r="A4" s="2" t="str">
        <f t="shared" si="0"/>
        <v>Conservador-HÍBRIDOS</v>
      </c>
      <c r="B4" s="2" t="s">
        <v>40</v>
      </c>
      <c r="C4" s="2" t="s">
        <v>31</v>
      </c>
      <c r="D4" s="28">
        <v>0.1</v>
      </c>
    </row>
    <row r="5" spans="1:4" x14ac:dyDescent="0.3">
      <c r="A5" s="2" t="str">
        <f t="shared" si="0"/>
        <v>Conservador-FOFs</v>
      </c>
      <c r="B5" s="2" t="s">
        <v>40</v>
      </c>
      <c r="C5" s="2" t="s">
        <v>32</v>
      </c>
      <c r="D5" s="28">
        <v>0.1</v>
      </c>
    </row>
    <row r="6" spans="1:4" x14ac:dyDescent="0.3">
      <c r="A6" s="2" t="str">
        <f t="shared" si="0"/>
        <v>Conservador-DESENVOLVIMENTO</v>
      </c>
      <c r="B6" s="2" t="s">
        <v>40</v>
      </c>
      <c r="C6" s="2" t="s">
        <v>33</v>
      </c>
      <c r="D6" s="28">
        <v>0</v>
      </c>
    </row>
    <row r="7" spans="1:4" x14ac:dyDescent="0.3">
      <c r="A7" s="2" t="str">
        <f t="shared" si="0"/>
        <v>Conservador-HOTELARIAS</v>
      </c>
      <c r="B7" s="2" t="s">
        <v>40</v>
      </c>
      <c r="C7" s="2" t="s">
        <v>34</v>
      </c>
      <c r="D7" s="28">
        <v>0</v>
      </c>
    </row>
    <row r="8" spans="1:4" x14ac:dyDescent="0.3">
      <c r="A8" s="2" t="str">
        <f t="shared" si="0"/>
        <v>Moderado-PAPEL</v>
      </c>
      <c r="B8" s="2" t="s">
        <v>24</v>
      </c>
      <c r="C8" s="2" t="s">
        <v>29</v>
      </c>
      <c r="D8" s="28">
        <v>0.32</v>
      </c>
    </row>
    <row r="9" spans="1:4" x14ac:dyDescent="0.3">
      <c r="A9" s="2" t="str">
        <f t="shared" si="0"/>
        <v>Moderado-TIJOLO</v>
      </c>
      <c r="B9" s="2" t="s">
        <v>24</v>
      </c>
      <c r="C9" s="2" t="s">
        <v>30</v>
      </c>
      <c r="D9" s="28">
        <v>0.35</v>
      </c>
    </row>
    <row r="10" spans="1:4" x14ac:dyDescent="0.3">
      <c r="A10" s="2" t="str">
        <f t="shared" si="0"/>
        <v>Moderado-HÍBRIDOS</v>
      </c>
      <c r="B10" s="2" t="s">
        <v>24</v>
      </c>
      <c r="C10" s="2" t="s">
        <v>31</v>
      </c>
      <c r="D10" s="28">
        <v>0.08</v>
      </c>
    </row>
    <row r="11" spans="1:4" x14ac:dyDescent="0.3">
      <c r="A11" s="2" t="str">
        <f t="shared" si="0"/>
        <v>Moderado-FOFs</v>
      </c>
      <c r="B11" s="2" t="s">
        <v>24</v>
      </c>
      <c r="C11" s="2" t="s">
        <v>32</v>
      </c>
      <c r="D11" s="28">
        <v>0.05</v>
      </c>
    </row>
    <row r="12" spans="1:4" x14ac:dyDescent="0.3">
      <c r="A12" s="2" t="str">
        <f t="shared" si="0"/>
        <v>Moderado-DESENVOLVIMENTO</v>
      </c>
      <c r="B12" s="2" t="s">
        <v>24</v>
      </c>
      <c r="C12" s="2" t="s">
        <v>33</v>
      </c>
      <c r="D12" s="28">
        <v>0.1</v>
      </c>
    </row>
    <row r="13" spans="1:4" x14ac:dyDescent="0.3">
      <c r="A13" s="2" t="str">
        <f t="shared" si="0"/>
        <v>Moderado-HOTELARIAS</v>
      </c>
      <c r="B13" s="2" t="s">
        <v>24</v>
      </c>
      <c r="C13" s="2" t="s">
        <v>34</v>
      </c>
      <c r="D13" s="28">
        <v>0.1</v>
      </c>
    </row>
    <row r="14" spans="1:4" x14ac:dyDescent="0.3">
      <c r="A14" s="2" t="str">
        <f t="shared" si="0"/>
        <v>Agressivo-PAPEL</v>
      </c>
      <c r="B14" s="2" t="s">
        <v>41</v>
      </c>
      <c r="C14" s="2" t="s">
        <v>29</v>
      </c>
      <c r="D14" s="28">
        <v>0.5</v>
      </c>
    </row>
    <row r="15" spans="1:4" x14ac:dyDescent="0.3">
      <c r="A15" s="2" t="str">
        <f t="shared" si="0"/>
        <v>Agressivo-TIJOLO</v>
      </c>
      <c r="B15" s="2" t="s">
        <v>41</v>
      </c>
      <c r="C15" s="2" t="s">
        <v>30</v>
      </c>
      <c r="D15" s="28">
        <v>0.1</v>
      </c>
    </row>
    <row r="16" spans="1:4" x14ac:dyDescent="0.3">
      <c r="A16" s="2" t="str">
        <f t="shared" si="0"/>
        <v>Agressivo-HÍBRIDOS</v>
      </c>
      <c r="B16" s="2" t="s">
        <v>41</v>
      </c>
      <c r="C16" s="2" t="s">
        <v>31</v>
      </c>
      <c r="D16" s="28">
        <v>0.05</v>
      </c>
    </row>
    <row r="17" spans="1:4" x14ac:dyDescent="0.3">
      <c r="A17" s="2" t="str">
        <f t="shared" si="0"/>
        <v>Agressivo-FOFs</v>
      </c>
      <c r="B17" s="2" t="s">
        <v>41</v>
      </c>
      <c r="C17" s="2" t="s">
        <v>32</v>
      </c>
      <c r="D17" s="28">
        <v>0.05</v>
      </c>
    </row>
    <row r="18" spans="1:4" x14ac:dyDescent="0.3">
      <c r="A18" s="2" t="str">
        <f t="shared" si="0"/>
        <v>Agressivo-DESENVOLVIMENTO</v>
      </c>
      <c r="B18" s="2" t="s">
        <v>41</v>
      </c>
      <c r="C18" s="2" t="s">
        <v>33</v>
      </c>
      <c r="D18" s="28">
        <v>0.2</v>
      </c>
    </row>
    <row r="19" spans="1:4" x14ac:dyDescent="0.3">
      <c r="A19" s="2" t="str">
        <f t="shared" si="0"/>
        <v>Agressivo-HOTELARIAS</v>
      </c>
      <c r="B19" s="2" t="s">
        <v>41</v>
      </c>
      <c r="C19" s="2" t="s">
        <v>34</v>
      </c>
      <c r="D19" s="28">
        <v>0.1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APP</vt:lpstr>
      <vt:lpstr>Projeção</vt:lpstr>
      <vt:lpstr>Perfis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Pereira</dc:creator>
  <cp:lastModifiedBy>Paula Pereira</cp:lastModifiedBy>
  <dcterms:created xsi:type="dcterms:W3CDTF">2026-09-29T00:10:49Z</dcterms:created>
  <dcterms:modified xsi:type="dcterms:W3CDTF">2026-09-29T01:05:11Z</dcterms:modified>
</cp:coreProperties>
</file>